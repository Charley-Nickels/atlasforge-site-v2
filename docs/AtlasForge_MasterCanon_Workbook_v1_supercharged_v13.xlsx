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ists" sheetId="1" state="hidden" r:id="rId1"/>
    <sheet xmlns:r="http://schemas.openxmlformats.org/officeDocument/2006/relationships" name="Universe_Index" sheetId="2" state="visible" r:id="rId2"/>
    <sheet xmlns:r="http://schemas.openxmlformats.org/officeDocument/2006/relationships" name="Canon_Matrix" sheetId="3" state="visible" r:id="rId3"/>
    <sheet xmlns:r="http://schemas.openxmlformats.org/officeDocument/2006/relationships" name="Decision_Table" sheetId="4" state="visible" r:id="rId4"/>
    <sheet xmlns:r="http://schemas.openxmlformats.org/officeDocument/2006/relationships" name="Roadmap" sheetId="5" state="visible" r:id="rId5"/>
    <sheet xmlns:r="http://schemas.openxmlformats.org/officeDocument/2006/relationships" name="Brands" sheetId="6" state="visible" r:id="rId6"/>
    <sheet xmlns:r="http://schemas.openxmlformats.org/officeDocument/2006/relationships" name="Summary" sheetId="7" state="visible" r:id="rId7"/>
    <sheet xmlns:r="http://schemas.openxmlformats.org/officeDocument/2006/relationships" name="Instructions" sheetId="8" state="visible" r:id="rId8"/>
  </sheets>
  <definedNames>
    <definedName name="Brand_List">Lists!$A$2:$A$6</definedName>
    <definedName name="Category_List">Lists!$B$2:$B$6</definedName>
    <definedName name="Tier_List">Lists!$C$2:$C$5</definedName>
    <definedName name="Decision_Rec_List">Lists!$D$2:$D$6</definedName>
    <definedName name="Difficulty_Band_List">Lists!$E$2:$E$6</definedName>
    <definedName name="Revenue_Band_List">Lists!$F$2:$F$5</definedName>
    <definedName name="Public_Viability_List">Lists!$G$2:$G$5</definedName>
    <definedName name="Powered_By_AtlasV_List">Lists!$H$2:$H$4</definedName>
    <definedName name="Phase_List">Lists!$I$2:$I$8</definedName>
    <definedName name="Include_Public_List">Lists!$J$2:$J$4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font>
    <font>
      <name val="Segoe UI"/>
      <color rgb="00FFFFFF"/>
    </font>
    <font>
      <color rgb="00FFFFFF"/>
    </font>
    <font>
      <name val="Segoe UI"/>
      <b val="1"/>
      <sz val="12"/>
    </font>
    <font>
      <b val="1"/>
      <color rgb="00FFFFFF"/>
    </font>
  </fonts>
  <fills count="8">
    <fill>
      <patternFill/>
    </fill>
    <fill>
      <patternFill patternType="gray125"/>
    </fill>
    <fill>
      <patternFill patternType="solid">
        <fgColor rgb="001F2933"/>
      </patternFill>
    </fill>
    <fill>
      <patternFill patternType="solid">
        <fgColor rgb="000B7285"/>
      </patternFill>
    </fill>
    <fill>
      <patternFill patternType="solid">
        <fgColor rgb="005F3DC4"/>
      </patternFill>
    </fill>
    <fill>
      <patternFill patternType="solid">
        <fgColor rgb="00F76707"/>
      </patternFill>
    </fill>
    <fill>
      <patternFill patternType="solid">
        <fgColor rgb="002B8A3E"/>
      </patternFill>
    </fill>
    <fill>
      <patternFill patternType="solid">
        <fgColor rgb="001F1F1F"/>
        <bgColor rgb="001F1F1F"/>
      </patternFill>
    </fill>
  </fills>
  <borders count="3">
    <border>
      <left/>
      <right/>
      <top/>
      <bottom/>
      <diagonal/>
    </border>
    <border>
      <left style="thin">
        <color rgb="00D0D7DE"/>
      </left>
      <right style="thin">
        <color rgb="00D0D7DE"/>
      </right>
      <top style="thin">
        <color rgb="00D0D7DE"/>
      </top>
      <bottom style="thin">
        <color rgb="00D0D7DE"/>
      </bottom>
    </border>
    <border>
      <left style="thin">
        <color rgb="00888888"/>
      </left>
      <right style="thin">
        <color rgb="00888888"/>
      </right>
      <top style="thin">
        <color rgb="00888888"/>
      </top>
      <bottom style="thin">
        <color rgb="00888888"/>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3" fillId="6" borderId="0" pivotButton="0" quotePrefix="0" xfId="0"/>
    <xf numFmtId="0" fontId="2" fillId="4" borderId="1" pivotButton="0" quotePrefix="0" xfId="0"/>
    <xf numFmtId="0" fontId="2" fillId="5" borderId="1" pivotButton="0" quotePrefix="0" xfId="0"/>
    <xf numFmtId="0" fontId="4" fillId="0" borderId="0" pivotButton="0" quotePrefix="0" xfId="0"/>
    <xf numFmtId="0" fontId="5" fillId="7" borderId="2" pivotButton="0" quotePrefix="0" xfId="0"/>
    <xf numFmtId="0" fontId="5" fillId="7" borderId="2"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dxfs count="5">
    <dxf>
      <fill>
        <patternFill patternType="solid">
          <fgColor rgb="00C6EFCE"/>
          <bgColor rgb="00C6EFCE"/>
        </patternFill>
      </fill>
    </dxf>
    <dxf>
      <fill>
        <patternFill patternType="solid">
          <fgColor rgb="00E2F0D9"/>
          <bgColor rgb="00E2F0D9"/>
        </patternFill>
      </fill>
    </dxf>
    <dxf>
      <fill>
        <patternFill patternType="solid">
          <fgColor rgb="00FFF2CC"/>
          <bgColor rgb="00FFF2CC"/>
        </patternFill>
      </fill>
    </dxf>
    <dxf>
      <fill>
        <patternFill patternType="solid">
          <fgColor rgb="00D9D9D9"/>
          <bgColor rgb="00D9D9D9"/>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Projects per Phase</a:t>
            </a:r>
          </a:p>
        </rich>
      </tx>
    </title>
    <plotArea>
      <barChart>
        <barDir val="bar"/>
        <grouping val="clustered"/>
        <ser>
          <idx val="0"/>
          <order val="0"/>
          <tx>
            <strRef>
              <f>'Roadmap'!C1</f>
            </strRef>
          </tx>
          <spPr>
            <a:ln xmlns:a="http://schemas.openxmlformats.org/drawingml/2006/main">
              <a:prstDash val="solid"/>
            </a:ln>
          </spPr>
          <cat>
            <numRef>
              <f>'Roadmap'!$A$2:$A$58</f>
            </numRef>
          </cat>
          <val>
            <numRef>
              <f>'Roadmap'!$C$2:$C$58</f>
            </numRef>
          </val>
        </ser>
        <ser>
          <idx val="1"/>
          <order val="1"/>
          <tx>
            <strRef>
              <f>'Roadmap'!D1</f>
            </strRef>
          </tx>
          <spPr>
            <a:ln xmlns:a="http://schemas.openxmlformats.org/drawingml/2006/main">
              <a:prstDash val="solid"/>
            </a:ln>
          </spPr>
          <cat>
            <numRef>
              <f>'Roadmap'!$A$2:$A$58</f>
            </numRef>
          </cat>
          <val>
            <numRef>
              <f>'Roadmap'!$D$2:$D$58</f>
            </numRef>
          </val>
        </ser>
        <ser>
          <idx val="2"/>
          <order val="2"/>
          <tx>
            <strRef>
              <f>'Roadmap'!E1</f>
            </strRef>
          </tx>
          <spPr>
            <a:ln xmlns:a="http://schemas.openxmlformats.org/drawingml/2006/main">
              <a:prstDash val="solid"/>
            </a:ln>
          </spPr>
          <cat>
            <numRef>
              <f>'Roadmap'!$A$2:$A$58</f>
            </numRef>
          </cat>
          <val>
            <numRef>
              <f>'Roadmap'!$E$2:$E$58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Projects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Phase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Projects by Brand</a:t>
            </a:r>
          </a:p>
        </rich>
      </tx>
    </title>
    <plotArea>
      <barChart>
        <barDir val="col"/>
        <grouping val="clustered"/>
        <ser>
          <idx val="0"/>
          <order val="0"/>
          <tx>
            <strRef>
              <f>'Summary'!B8</f>
            </strRef>
          </tx>
          <spPr>
            <a:ln xmlns:a="http://schemas.openxmlformats.org/drawingml/2006/main">
              <a:prstDash val="solid"/>
            </a:ln>
          </spPr>
          <cat>
            <numRef>
              <f>'Summary'!$A$9:$A$12</f>
            </numRef>
          </cat>
          <val>
            <numRef>
              <f>'Summary'!$B$9:$B$12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Atlas Architect</author>
  </authors>
  <commentList>
    <comment ref="H1" authorId="0" shapeId="0">
      <text>
        <t>Use for sensitive/internal notes that must NEVER appear on the public site.</t>
      </text>
    </comment>
    <comment ref="K1" authorId="0" shapeId="0">
      <text>
        <t>Summarize major market/technical risks here for quick triage.</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7</col>
      <colOff>0</colOff>
      <row>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7</row>
      <rowOff>0</rowOff>
    </from>
    <ext cx="54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Universe" displayName="tblUniverse" ref="A1:L5" headerRowCount="1">
  <autoFilter ref="A1:L2"/>
  <tableColumns count="12">
    <tableColumn id="1" name="ID"/>
    <tableColumn id="2" name="Name"/>
    <tableColumn id="3" name="Brand"/>
    <tableColumn id="4" name="Category"/>
    <tableColumn id="5" name="Tier"/>
    <tableColumn id="6" name="Short_Description"/>
    <tableColumn id="7" name="Powered_By_AtlasV"/>
    <tableColumn id="8" name="Phase_Planned"/>
    <tableColumn id="9" name="Phase_Alt"/>
    <tableColumn id="10" name="Status"/>
    <tableColumn id="11" name="Notes_Internal"/>
    <tableColumn id="12" name="Public_Tagline"/>
  </tableColumns>
  <tableStyleInfo name="TableStyleMedium9" showFirstColumn="0" showLastColumn="0" showRowStripes="1" showColumnStripes="0"/>
</table>
</file>

<file path=xl/tables/table2.xml><?xml version="1.0" encoding="utf-8"?>
<table xmlns="http://schemas.openxmlformats.org/spreadsheetml/2006/main" id="2" name="tblCanon" displayName="tblCanon" ref="A1:K5" headerRowCount="1">
  <autoFilter ref="A1:K2"/>
  <tableColumns count="11">
    <tableColumn id="1" name="ID"/>
    <tableColumn id="2" name="Name"/>
    <tableColumn id="3" name="Difficulty_Band"/>
    <tableColumn id="4" name="Revenue_Band"/>
    <tableColumn id="5" name="Public_Viability"/>
    <tableColumn id="6" name="Audience_Segment"/>
    <tableColumn id="7" name="Platform_Type"/>
    <tableColumn id="8" name="Internal_Only_Components"/>
    <tableColumn id="9" name="Dependencies"/>
    <tableColumn id="10" name="AtlasV_Usage_Notes"/>
    <tableColumn id="11" name="Risk_Notes"/>
  </tableColumns>
  <tableStyleInfo name="TableStyleMedium9" showFirstColumn="0" showLastColumn="0" showRowStripes="1" showColumnStripes="0"/>
</table>
</file>

<file path=xl/tables/table3.xml><?xml version="1.0" encoding="utf-8"?>
<table xmlns="http://schemas.openxmlformats.org/spreadsheetml/2006/main" id="3" name="tblDecisions" displayName="tblDecisions" ref="A1:J6" headerRowCount="1">
  <autoFilter ref="A1:J2"/>
  <tableColumns count="10">
    <tableColumn id="1" name="ID"/>
    <tableColumn id="2" name="Name"/>
    <tableColumn id="3" name="Brand"/>
    <tableColumn id="4" name="Category"/>
    <tableColumn id="5" name="Rec_Decision"/>
    <tableColumn id="6" name="Your_Decision"/>
    <tableColumn id="7" name="Reason_Note"/>
    <tableColumn id="8" name="Phase_Assigned"/>
    <tableColumn id="9" name="Include_in_Public_Site"/>
    <tableColumn id="10" name="Priority_Score"/>
  </tableColumns>
  <tableStyleInfo name="TableStyleMedium9" showFirstColumn="0" showLastColumn="0" showRowStripes="1" showColumnStripes="0"/>
</table>
</file>

<file path=xl/tables/table4.xml><?xml version="1.0" encoding="utf-8"?>
<table xmlns="http://schemas.openxmlformats.org/spreadsheetml/2006/main" id="4" name="tblRoadmap" displayName="tblRoadmap" ref="A1:Z58" headerRowCount="1">
  <autoFilter ref="A1:F8"/>
  <tableColumns count="6">
    <tableColumn id="1" name="Phase"/>
    <tableColumn id="2" name="Description"/>
    <tableColumn id="3" name="Planned_Projects_Count"/>
    <tableColumn id="4" name="Core_Projects_Count"/>
    <tableColumn id="5" name="Stretch_Projects_Count"/>
    <tableColumn id="6" name="Notes"/>
  </tableColumns>
  <tableStyleInfo name="TableStyleMedium9" showFirstColumn="0" showLastColumn="0" showRowStripes="1" showColumnStripes="0"/>
</table>
</file>

<file path=xl/tables/table5.xml><?xml version="1.0" encoding="utf-8"?>
<table xmlns="http://schemas.openxmlformats.org/spreadsheetml/2006/main" id="5" name="tblBrands" displayName="tblBrands" ref="A1:H6" headerRowCount="1">
  <autoFilter ref="A1:H2"/>
  <tableColumns count="8">
    <tableColumn id="1" name="Brand"/>
    <tableColumn id="2" name="Identity"/>
    <tableColumn id="3" name="Tone"/>
    <tableColumn id="4" name="Core_Audience"/>
    <tableColumn id="5" name="Canon_Themes"/>
    <tableColumn id="6" name="What_to_Avoid"/>
    <tableColumn id="7" name="Example_Projects"/>
    <tableColumn id="8" name="Revenue_Stream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4.xml" Id="rId2"/></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CCCCCC"/>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 width="32" customWidth="1" min="4" max="4"/>
    <col width="17" customWidth="1" min="5" max="5"/>
    <col width="14" customWidth="1" min="6" max="6"/>
    <col width="18" customWidth="1" min="7" max="7"/>
    <col width="19" customWidth="1" min="8" max="8"/>
    <col width="35" customWidth="1" min="9" max="9"/>
    <col width="24" customWidth="1" min="10" max="10"/>
  </cols>
  <sheetData>
    <row r="1" ht="24" customHeight="1">
      <c r="A1" s="7" t="inlineStr">
        <is>
          <t>Brand</t>
        </is>
      </c>
      <c r="B1" s="7" t="inlineStr">
        <is>
          <t>Category</t>
        </is>
      </c>
      <c r="C1" s="7" t="inlineStr">
        <is>
          <t>Tier</t>
        </is>
      </c>
      <c r="D1" s="7" t="inlineStr">
        <is>
          <t>Decision_Rec</t>
        </is>
      </c>
      <c r="E1" s="7" t="inlineStr">
        <is>
          <t>Difficulty_Band</t>
        </is>
      </c>
      <c r="F1" s="7" t="inlineStr">
        <is>
          <t>Revenue_Band</t>
        </is>
      </c>
      <c r="G1" s="7" t="inlineStr">
        <is>
          <t>Public_Viability</t>
        </is>
      </c>
      <c r="H1" s="7" t="inlineStr">
        <is>
          <t>Powered_By_AtlasV</t>
        </is>
      </c>
      <c r="I1" s="7" t="inlineStr">
        <is>
          <t>Phase</t>
        </is>
      </c>
      <c r="J1" s="7" t="inlineStr">
        <is>
          <t>Include_in_Public_Site</t>
        </is>
      </c>
    </row>
    <row r="2">
      <c r="A2" t="inlineStr">
        <is>
          <t>AtlasForge Games</t>
        </is>
      </c>
      <c r="B2" t="inlineStr">
        <is>
          <t>Game</t>
        </is>
      </c>
      <c r="C2" t="inlineStr">
        <is>
          <t>Core</t>
        </is>
      </c>
      <c r="D2" t="inlineStr">
        <is>
          <t>A — Approve as Primary Canon</t>
        </is>
      </c>
      <c r="E2" t="inlineStr">
        <is>
          <t>Low</t>
        </is>
      </c>
      <c r="F2" t="inlineStr">
        <is>
          <t>Low</t>
        </is>
      </c>
      <c r="G2" t="inlineStr">
        <is>
          <t>High</t>
        </is>
      </c>
      <c r="H2" t="inlineStr">
        <is>
          <t>Yes</t>
        </is>
      </c>
      <c r="I2" t="inlineStr">
        <is>
          <t>Phase 1 — Website + POC + Lite</t>
        </is>
      </c>
      <c r="J2" t="inlineStr">
        <is>
          <t>Yes</t>
        </is>
      </c>
    </row>
    <row r="3">
      <c r="A3" t="inlineStr">
        <is>
          <t>AtlasForge Media</t>
        </is>
      </c>
      <c r="B3" t="inlineStr">
        <is>
          <t>Media</t>
        </is>
      </c>
      <c r="C3" t="inlineStr">
        <is>
          <t>Secondary</t>
        </is>
      </c>
      <c r="D3" t="inlineStr">
        <is>
          <t>B — Approve as Secondary Canon</t>
        </is>
      </c>
      <c r="E3" t="inlineStr">
        <is>
          <t>Medium</t>
        </is>
      </c>
      <c r="F3" t="inlineStr">
        <is>
          <t>Medium</t>
        </is>
      </c>
      <c r="G3" t="inlineStr">
        <is>
          <t>Medium</t>
        </is>
      </c>
      <c r="H3" t="inlineStr">
        <is>
          <t>No</t>
        </is>
      </c>
      <c r="I3" t="inlineStr">
        <is>
          <t>Phase 2 — OIA + Media Launch</t>
        </is>
      </c>
      <c r="J3" t="inlineStr">
        <is>
          <t>No</t>
        </is>
      </c>
    </row>
    <row r="4">
      <c r="A4" t="inlineStr">
        <is>
          <t>AtlasForge Studio</t>
        </is>
      </c>
      <c r="B4" t="inlineStr">
        <is>
          <t>Studio Tool</t>
        </is>
      </c>
      <c r="C4" t="inlineStr">
        <is>
          <t>Stretch</t>
        </is>
      </c>
      <c r="D4" t="inlineStr">
        <is>
          <t>C — Approve as Stretch Goal</t>
        </is>
      </c>
      <c r="E4" t="inlineStr">
        <is>
          <t>Medium-High</t>
        </is>
      </c>
      <c r="F4" t="inlineStr">
        <is>
          <t>High</t>
        </is>
      </c>
      <c r="G4" t="inlineStr">
        <is>
          <t>Niche</t>
        </is>
      </c>
      <c r="H4" t="inlineStr">
        <is>
          <t>Maybe</t>
        </is>
      </c>
      <c r="I4" t="inlineStr">
        <is>
          <t>Phase 3 — NW + Merch + VoiceForge</t>
        </is>
      </c>
      <c r="J4" t="inlineStr">
        <is>
          <t>Later</t>
        </is>
      </c>
    </row>
    <row r="5">
      <c r="A5" t="inlineStr">
        <is>
          <t>Atlas Engine &amp; Atlas-V</t>
        </is>
      </c>
      <c r="B5" t="inlineStr">
        <is>
          <t>Engine / R&amp;D</t>
        </is>
      </c>
      <c r="C5" t="inlineStr">
        <is>
          <t>R&amp;D only</t>
        </is>
      </c>
      <c r="D5" t="inlineStr">
        <is>
          <t>D — Defer</t>
        </is>
      </c>
      <c r="E5" t="inlineStr">
        <is>
          <t>High</t>
        </is>
      </c>
      <c r="F5" t="inlineStr">
        <is>
          <t>Very High</t>
        </is>
      </c>
      <c r="G5" t="inlineStr">
        <is>
          <t>Internal-only</t>
        </is>
      </c>
      <c r="I5" t="inlineStr">
        <is>
          <t>Phase 4 — Hypercasual Pipeline</t>
        </is>
      </c>
    </row>
    <row r="6">
      <c r="A6" t="inlineStr">
        <is>
          <t>AtlasForge Merch</t>
        </is>
      </c>
      <c r="B6" t="inlineStr">
        <is>
          <t>Merch</t>
        </is>
      </c>
      <c r="D6" t="inlineStr">
        <is>
          <t>E — Deny</t>
        </is>
      </c>
      <c r="E6" t="inlineStr">
        <is>
          <t>Very High</t>
        </is>
      </c>
      <c r="I6" t="inlineStr">
        <is>
          <t>Phase 5 — Engine Deepening</t>
        </is>
      </c>
    </row>
    <row r="7">
      <c r="I7" t="inlineStr">
        <is>
          <t>Phase 6 — Full Studio Product</t>
        </is>
      </c>
    </row>
    <row r="8">
      <c r="I8" t="inlineStr">
        <is>
          <t>Phase 7 — Autonomous Systems</t>
        </is>
      </c>
    </row>
  </sheetData>
  <pageMargins left="0.75" right="0.75" top="1" bottom="1" header="0.5" footer="0.5"/>
</worksheet>
</file>

<file path=xl/worksheets/sheet2.xml><?xml version="1.0" encoding="utf-8"?>
<worksheet xmlns="http://schemas.openxmlformats.org/spreadsheetml/2006/main">
  <sheetPr>
    <tabColor rgb="0092D050"/>
    <outlinePr summaryBelow="1" summaryRight="1"/>
    <pageSetUpPr/>
  </sheetPr>
  <dimension ref="A1:M38"/>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15" customWidth="1" min="1" max="1"/>
    <col width="28" customWidth="1" min="2" max="2"/>
    <col width="24" customWidth="1" min="3" max="3"/>
    <col width="14" customWidth="1" min="4" max="4"/>
    <col width="14" customWidth="1" min="5" max="5"/>
    <col width="45" customWidth="1" min="6" max="6"/>
    <col width="19" customWidth="1" min="7" max="7"/>
    <col width="35" customWidth="1" min="8" max="8"/>
    <col width="35" customWidth="1" min="9" max="9"/>
    <col width="14" customWidth="1" min="10" max="10"/>
    <col width="45" customWidth="1" min="11" max="11"/>
    <col width="45" customWidth="1" min="12" max="12"/>
    <col width="24" customWidth="1" min="13" max="13"/>
  </cols>
  <sheetData>
    <row r="1" ht="24" customHeight="1">
      <c r="A1" s="8" t="inlineStr">
        <is>
          <t>ID</t>
        </is>
      </c>
      <c r="B1" s="8" t="inlineStr">
        <is>
          <t>Name</t>
        </is>
      </c>
      <c r="C1" s="8" t="inlineStr">
        <is>
          <t>Brand</t>
        </is>
      </c>
      <c r="D1" s="8" t="inlineStr">
        <is>
          <t>Category</t>
        </is>
      </c>
      <c r="E1" s="8" t="inlineStr">
        <is>
          <t>Tier</t>
        </is>
      </c>
      <c r="F1" s="8" t="inlineStr">
        <is>
          <t>Short_Description</t>
        </is>
      </c>
      <c r="G1" s="8" t="inlineStr">
        <is>
          <t>Powered_By_AtlasV</t>
        </is>
      </c>
      <c r="H1" s="8" t="inlineStr">
        <is>
          <t>Phase_Planned</t>
        </is>
      </c>
      <c r="I1" s="8" t="inlineStr">
        <is>
          <t>Phase_Alt</t>
        </is>
      </c>
      <c r="J1" s="8" t="inlineStr">
        <is>
          <t>Status</t>
        </is>
      </c>
      <c r="K1" s="8" t="inlineStr">
        <is>
          <t>Notes_Internal</t>
        </is>
      </c>
      <c r="L1" s="8" t="inlineStr">
        <is>
          <t>Public_Tagline</t>
        </is>
      </c>
      <c r="M1" s="8" t="inlineStr">
        <is>
          <t>Include_in_Public_Site</t>
        </is>
      </c>
    </row>
    <row r="2">
      <c r="A2" t="inlineStr">
        <is>
          <t>G-OIA</t>
        </is>
      </c>
      <c r="B2" t="inlineStr">
        <is>
          <t>Octopus in Action</t>
        </is>
      </c>
      <c r="C2" s="2" t="inlineStr">
        <is>
          <t>AtlasForge Games</t>
        </is>
      </c>
      <c r="D2" t="inlineStr">
        <is>
          <t>Game</t>
        </is>
      </c>
      <c r="E2" t="inlineStr">
        <is>
          <t>Core</t>
        </is>
      </c>
      <c r="F2" s="9" t="inlineStr">
        <is>
          <t>Cozy civic-management sim where Mayor Octavius delegates work via mail and departments.</t>
        </is>
      </c>
      <c r="G2" s="3" t="inlineStr">
        <is>
          <t>Yes</t>
        </is>
      </c>
      <c r="H2" s="9" t="inlineStr">
        <is>
          <t>Phase 2 — OIA + Media Launch</t>
        </is>
      </c>
      <c r="I2" s="9" t="inlineStr">
        <is>
          <t>Phase 5 — Engine deepening</t>
        </is>
      </c>
      <c r="J2" t="inlineStr">
        <is>
          <t>Idea</t>
        </is>
      </c>
      <c r="K2" t="inlineStr">
        <is>
          <t>Flagship game IP; keep canon tight and cozy.</t>
        </is>
      </c>
      <c r="L2" s="9" t="inlineStr">
        <is>
          <t>A governed, cozy civic sim powered by Atlas-V.</t>
        </is>
      </c>
    </row>
    <row r="3">
      <c r="A3" t="inlineStr">
        <is>
          <t>G-NW</t>
        </is>
      </c>
      <c r="B3" t="inlineStr">
        <is>
          <t>Neighborhood Watch</t>
        </is>
      </c>
      <c r="C3" s="2" t="inlineStr">
        <is>
          <t>AtlasForge Games</t>
        </is>
      </c>
      <c r="D3" t="inlineStr">
        <is>
          <t>Game</t>
        </is>
      </c>
      <c r="E3" t="inlineStr">
        <is>
          <t>Core</t>
        </is>
      </c>
      <c r="F3" s="9" t="inlineStr">
        <is>
          <t>Serious-feeling police sim where you gradually realize you’re 'only' neighborhood watch.</t>
        </is>
      </c>
      <c r="G3" s="3" t="inlineStr">
        <is>
          <t>Yes</t>
        </is>
      </c>
      <c r="H3" s="9" t="inlineStr">
        <is>
          <t>Phase 3 — NW + Merch + VoiceForge</t>
        </is>
      </c>
      <c r="I3" s="9" t="inlineStr">
        <is>
          <t>Phase 4 — Hypercasual Pipeline</t>
        </is>
      </c>
      <c r="J3" t="inlineStr">
        <is>
          <t>Idea</t>
        </is>
      </c>
      <c r="K3" t="inlineStr">
        <is>
          <t>Leans on comedy in lore, but plays like a grounded sim.</t>
        </is>
      </c>
      <c r="L3" s="9" t="inlineStr">
        <is>
          <t>A grounded patrol sim with an increasingly absurd neighborhood reality.</t>
        </is>
      </c>
    </row>
    <row r="4">
      <c r="A4" t="inlineStr">
        <is>
          <t>M-FILM</t>
        </is>
      </c>
      <c r="B4" t="inlineStr">
        <is>
          <t>FilmForge</t>
        </is>
      </c>
      <c r="C4" s="4" t="inlineStr">
        <is>
          <t>AtlasForge Media</t>
        </is>
      </c>
      <c r="D4" t="inlineStr">
        <is>
          <t>Media</t>
        </is>
      </c>
      <c r="E4" t="inlineStr">
        <is>
          <t>Core</t>
        </is>
      </c>
      <c r="F4" s="9" t="inlineStr">
        <is>
          <t>Documentary and educational label for long-form explainers and series.</t>
        </is>
      </c>
      <c r="G4" s="3" t="inlineStr">
        <is>
          <t>Yes</t>
        </is>
      </c>
      <c r="H4" s="9" t="inlineStr">
        <is>
          <t>Phase 2 — OIA + Media Launch</t>
        </is>
      </c>
      <c r="I4" s="9" t="inlineStr">
        <is>
          <t>Phase 3 — NW + Merch + VoiceForge</t>
        </is>
      </c>
      <c r="J4" t="inlineStr">
        <is>
          <t>Idea</t>
        </is>
      </c>
      <c r="K4" t="inlineStr">
        <is>
          <t>Primary non-fiction media arm; system explainers and docs.</t>
        </is>
      </c>
      <c r="L4" s="9" t="inlineStr">
        <is>
          <t>Cinematic documentaries and explainers powered by Atlas-V-assisted research.</t>
        </is>
      </c>
    </row>
    <row r="5">
      <c r="A5" t="inlineStr">
        <is>
          <t>T-STUDIOPOC</t>
        </is>
      </c>
      <c r="B5" t="inlineStr">
        <is>
          <t>Atlas Studio POC</t>
        </is>
      </c>
      <c r="C5" s="5" t="inlineStr">
        <is>
          <t>AtlasForge Studio</t>
        </is>
      </c>
      <c r="D5" t="inlineStr">
        <is>
          <t>Studio Tool</t>
        </is>
      </c>
      <c r="E5" t="inlineStr">
        <is>
          <t>Core</t>
        </is>
      </c>
      <c r="F5" s="9" t="inlineStr">
        <is>
          <t>Proof-of-concept creator surface (web + spreadsheet-like) guided by Atlas-V.</t>
        </is>
      </c>
      <c r="G5" s="3" t="inlineStr">
        <is>
          <t>Yes</t>
        </is>
      </c>
      <c r="H5" s="9" t="inlineStr">
        <is>
          <t>Phase 1 — Website + POC + Lite</t>
        </is>
      </c>
      <c r="I5" s="9" t="inlineStr">
        <is>
          <t>Phase 5 — Engine deepening</t>
        </is>
      </c>
      <c r="J5" t="inlineStr">
        <is>
          <t>In Design</t>
        </is>
      </c>
      <c r="K5" t="inlineStr">
        <is>
          <t>Internal POC for future full studio; keep public copy honest but confident.</t>
        </is>
      </c>
      <c r="L5" s="9" t="inlineStr">
        <is>
          <t>The first Atlas Studio prototype, powered by Atlas-V and Atlas Engine governance.</t>
        </is>
      </c>
    </row>
    <row r="6"/>
    <row r="7"/>
    <row r="8">
      <c r="A8" t="inlineStr">
        <is>
          <t>G-DD</t>
        </is>
      </c>
      <c r="B8" t="inlineStr">
        <is>
          <t>D/D</t>
        </is>
      </c>
      <c r="C8" t="inlineStr">
        <is>
          <t>AtlasForge Games</t>
        </is>
      </c>
      <c r="D8" t="inlineStr">
        <is>
          <t>Game</t>
        </is>
      </c>
      <c r="E8" t="inlineStr">
        <is>
          <t>Secondary</t>
        </is>
      </c>
      <c r="F8" s="9" t="inlineStr">
        <is>
          <t>Tabletop-inspired RPG where the computer GM runs campaigns for you or you GM for AI players.</t>
        </is>
      </c>
      <c r="G8" t="inlineStr">
        <is>
          <t>Yes</t>
        </is>
      </c>
      <c r="H8" s="9" t="inlineStr">
        <is>
          <t>Phase 3 — NW + Merch + VoiceForge</t>
        </is>
      </c>
      <c r="J8" t="inlineStr">
        <is>
          <t>Idea</t>
        </is>
      </c>
      <c r="K8" t="inlineStr">
        <is>
          <t>Retro-lite pixel RPG with automated GM tools; long-term franchise potential.</t>
        </is>
      </c>
      <c r="L8" s="9" t="inlineStr">
        <is>
          <t>A cozy, rules-light RPG where the 'computer GM' runs the table for you.</t>
        </is>
      </c>
    </row>
    <row r="9">
      <c r="A9" t="inlineStr">
        <is>
          <t>G-CONQ</t>
        </is>
      </c>
      <c r="B9" t="inlineStr">
        <is>
          <t>Conquest</t>
        </is>
      </c>
      <c r="C9" t="inlineStr">
        <is>
          <t>AtlasForge Games</t>
        </is>
      </c>
      <c r="D9" t="inlineStr">
        <is>
          <t>Game</t>
        </is>
      </c>
      <c r="E9" t="inlineStr">
        <is>
          <t>Secondary</t>
        </is>
      </c>
      <c r="F9" s="9" t="inlineStr">
        <is>
          <t>Real-time strategy game inspired by classic Command &amp; Conquer and Age of Empires.</t>
        </is>
      </c>
      <c r="G9" t="inlineStr">
        <is>
          <t>Yes</t>
        </is>
      </c>
      <c r="H9" s="9" t="inlineStr">
        <is>
          <t>Phase 5 — Engine Deepening</t>
        </is>
      </c>
      <c r="J9" t="inlineStr">
        <is>
          <t>Idea</t>
        </is>
      </c>
      <c r="K9" t="inlineStr">
        <is>
          <t>Large-scale RTS showcase title for AtlasForge; ideal for mod support.</t>
        </is>
      </c>
      <c r="L9" s="9" t="inlineStr">
        <is>
          <t>A bold RTS about building bases, commanding armies, and outsmarting rival empires.</t>
        </is>
      </c>
    </row>
    <row r="10">
      <c r="A10" t="inlineStr">
        <is>
          <t>G-FEUD</t>
        </is>
      </c>
      <c r="B10" t="inlineStr">
        <is>
          <t>Feud</t>
        </is>
      </c>
      <c r="C10" t="inlineStr">
        <is>
          <t>AtlasForge Games</t>
        </is>
      </c>
      <c r="D10" t="inlineStr">
        <is>
          <t>Game</t>
        </is>
      </c>
      <c r="E10" t="inlineStr">
        <is>
          <t>Secondary</t>
        </is>
      </c>
      <c r="F10" s="9" t="inlineStr">
        <is>
          <t>Action-RPG inspired by classic Flash-era Feudalism 2 with modern progression.</t>
        </is>
      </c>
      <c r="G10" t="inlineStr">
        <is>
          <t>Yes</t>
        </is>
      </c>
      <c r="H10" s="9" t="inlineStr">
        <is>
          <t>Phase 4 — Hypercasual Pipeline</t>
        </is>
      </c>
      <c r="J10" t="inlineStr">
        <is>
          <t>Idea</t>
        </is>
      </c>
      <c r="K10" t="inlineStr">
        <is>
          <t>Mid-scope action-RPG that can reuse systems from other titles.</t>
        </is>
      </c>
      <c r="L10" s="9" t="inlineStr">
        <is>
          <t>A fast-moving action-RPG where you grow a tiny warband into a roaming legend.</t>
        </is>
      </c>
    </row>
    <row r="11">
      <c r="A11" t="inlineStr">
        <is>
          <t>G-RUN</t>
        </is>
      </c>
      <c r="B11" t="inlineStr">
        <is>
          <t>Runners</t>
        </is>
      </c>
      <c r="C11" t="inlineStr">
        <is>
          <t>AtlasForge Games</t>
        </is>
      </c>
      <c r="D11" t="inlineStr">
        <is>
          <t>Game</t>
        </is>
      </c>
      <c r="E11" t="inlineStr">
        <is>
          <t>Stretch</t>
        </is>
      </c>
      <c r="F11" s="9" t="inlineStr">
        <is>
          <t>Hypercasual runner template built to support many reskinned variants.</t>
        </is>
      </c>
      <c r="G11" t="inlineStr">
        <is>
          <t>Yes</t>
        </is>
      </c>
      <c r="H11" s="9" t="inlineStr">
        <is>
          <t>Phase 4 — Hypercasual Pipeline</t>
        </is>
      </c>
      <c r="J11" t="inlineStr">
        <is>
          <t>Idea</t>
        </is>
      </c>
      <c r="K11" t="inlineStr">
        <is>
          <t>Backbone for multiple quick-launch mobile runners.</t>
        </is>
      </c>
      <c r="L11" s="9" t="inlineStr">
        <is>
          <t>A slick, replayable runner built to spawn an entire line of themed spin-offs.</t>
        </is>
      </c>
    </row>
    <row r="12">
      <c r="A12" t="inlineStr">
        <is>
          <t>G-AAB</t>
        </is>
      </c>
      <c r="B12" t="inlineStr">
        <is>
          <t>All A Board</t>
        </is>
      </c>
      <c r="C12" t="inlineStr">
        <is>
          <t>AtlasForge Games</t>
        </is>
      </c>
      <c r="D12" t="inlineStr">
        <is>
          <t>Game</t>
        </is>
      </c>
      <c r="E12" t="inlineStr">
        <is>
          <t>Stretch</t>
        </is>
      </c>
      <c r="F12" s="9" t="inlineStr">
        <is>
          <t>Top-down train management game inspired by Now Boarding, focused on routing and timing.</t>
        </is>
      </c>
      <c r="G12" t="inlineStr">
        <is>
          <t>Yes</t>
        </is>
      </c>
      <c r="H12" s="9" t="inlineStr">
        <is>
          <t>Phase 4 — Hypercasual Pipeline</t>
        </is>
      </c>
      <c r="J12" t="inlineStr">
        <is>
          <t>Idea</t>
        </is>
      </c>
      <c r="K12" t="inlineStr">
        <is>
          <t>Great candidate for systems reuse and DLC routes.</t>
        </is>
      </c>
      <c r="L12" s="9" t="inlineStr">
        <is>
          <t>A charming dispatch sim where you keep trains on time and passengers (mostly) happy.</t>
        </is>
      </c>
    </row>
    <row r="13">
      <c r="A13" t="inlineStr">
        <is>
          <t>G-LBTW</t>
        </is>
      </c>
      <c r="B13" t="inlineStr">
        <is>
          <t>Let’s Build the World</t>
        </is>
      </c>
      <c r="C13" t="inlineStr">
        <is>
          <t>AtlasForge Games</t>
        </is>
      </c>
      <c r="D13" t="inlineStr">
        <is>
          <t>Game</t>
        </is>
      </c>
      <c r="E13" t="inlineStr">
        <is>
          <t>Core</t>
        </is>
      </c>
      <c r="F13" s="9" t="inlineStr">
        <is>
          <t>God-sim / world builder where you shape continents, guide civilizations, and grow religions over ages.</t>
        </is>
      </c>
      <c r="G13" t="inlineStr">
        <is>
          <t>Yes</t>
        </is>
      </c>
      <c r="H13" s="9" t="inlineStr">
        <is>
          <t>Phase 6 — Full Studio Product</t>
        </is>
      </c>
      <c r="J13" t="inlineStr">
        <is>
          <t>Idea</t>
        </is>
      </c>
      <c r="K13" t="inlineStr">
        <is>
          <t>Flagship long-horizon sim with huge expansion potential.</t>
        </is>
      </c>
      <c r="L13" s="9" t="inlineStr">
        <is>
          <t>A sweeping god-sim where your choices sculpt continents, cultures, and the flow of history.</t>
        </is>
      </c>
    </row>
    <row r="14">
      <c r="A14" t="inlineStr">
        <is>
          <t>G-AUTO</t>
        </is>
      </c>
      <c r="B14" t="inlineStr">
        <is>
          <t>Relayworks</t>
        </is>
      </c>
      <c r="C14" t="inlineStr">
        <is>
          <t>AtlasForge Games</t>
        </is>
      </c>
      <c r="D14" t="inlineStr">
        <is>
          <t>Game</t>
        </is>
      </c>
      <c r="E14" t="inlineStr">
        <is>
          <t>Secondary</t>
        </is>
      </c>
      <c r="F14" s="9" t="inlineStr">
        <is>
          <t>Factory/automation builder focused on grounded, earth-like logistics rather than sci-fi.</t>
        </is>
      </c>
      <c r="G14" t="inlineStr">
        <is>
          <t>Yes</t>
        </is>
      </c>
      <c r="H14" s="9" t="inlineStr">
        <is>
          <t>Phase 5 — Engine Deepening</t>
        </is>
      </c>
      <c r="J14" t="inlineStr">
        <is>
          <t>Idea</t>
        </is>
      </c>
      <c r="K14" t="inlineStr">
        <is>
          <t>Deep systems sandbox; perfect to stress-test Atlas-V planning logic.</t>
        </is>
      </c>
      <c r="L14" s="9" t="inlineStr">
        <is>
          <t>An automation sandbox about building beautiful, efficient production chains on a living world.</t>
        </is>
      </c>
    </row>
    <row r="15">
      <c r="A15" t="inlineStr">
        <is>
          <t>M-COM</t>
        </is>
      </c>
      <c r="B15" t="inlineStr">
        <is>
          <t>ComedyForge</t>
        </is>
      </c>
      <c r="C15" t="inlineStr">
        <is>
          <t>AtlasForge Media</t>
        </is>
      </c>
      <c r="D15" t="inlineStr">
        <is>
          <t>Media</t>
        </is>
      </c>
      <c r="E15" t="inlineStr">
        <is>
          <t>Secondary</t>
        </is>
      </c>
      <c r="F15" s="9" t="inlineStr">
        <is>
          <t>Comedy-focused content brand for sketches, commentary, and faceless humor formats.</t>
        </is>
      </c>
      <c r="G15" t="inlineStr">
        <is>
          <t>Yes</t>
        </is>
      </c>
      <c r="H15" s="9" t="inlineStr">
        <is>
          <t>Phase 2 — OIA + Media Launch</t>
        </is>
      </c>
      <c r="J15" t="inlineStr">
        <is>
          <t>Idea</t>
        </is>
      </c>
      <c r="K15" t="inlineStr">
        <is>
          <t>Primary outlet for light, evergreen comedic content.</t>
        </is>
      </c>
      <c r="L15" s="9" t="inlineStr">
        <is>
          <t>A faceless comedy studio for sketches, bits, and running jokes across the AtlasForge universe.</t>
        </is>
      </c>
    </row>
    <row r="16">
      <c r="A16" t="inlineStr">
        <is>
          <t>M-STORY</t>
        </is>
      </c>
      <c r="B16" t="inlineStr">
        <is>
          <t>StoryForge</t>
        </is>
      </c>
      <c r="C16" t="inlineStr">
        <is>
          <t>AtlasForge Media</t>
        </is>
      </c>
      <c r="D16" t="inlineStr">
        <is>
          <t>Media</t>
        </is>
      </c>
      <c r="E16" t="inlineStr">
        <is>
          <t>Core</t>
        </is>
      </c>
      <c r="F16" s="9" t="inlineStr">
        <is>
          <t>Long-form narrative and true-crime style documentaries with an educational angle.</t>
        </is>
      </c>
      <c r="G16" t="inlineStr">
        <is>
          <t>Yes</t>
        </is>
      </c>
      <c r="H16" s="9" t="inlineStr">
        <is>
          <t>Phase 2 — OIA + Media Launch</t>
        </is>
      </c>
      <c r="J16" t="inlineStr">
        <is>
          <t>Idea</t>
        </is>
      </c>
      <c r="K16" t="inlineStr">
        <is>
          <t>Core media pillar; ties into game worlds and real-world topics.</t>
        </is>
      </c>
      <c r="L16" s="9" t="inlineStr">
        <is>
          <t>An atmospheric doc series blending careful research with cinematic storytelling.</t>
        </is>
      </c>
    </row>
    <row r="17">
      <c r="A17" t="inlineStr">
        <is>
          <t>M-SHORT</t>
        </is>
      </c>
      <c r="B17" t="inlineStr">
        <is>
          <t>AtlasForge Shorts</t>
        </is>
      </c>
      <c r="C17" t="inlineStr">
        <is>
          <t>AtlasForge Media</t>
        </is>
      </c>
      <c r="D17" t="inlineStr">
        <is>
          <t>Media</t>
        </is>
      </c>
      <c r="E17" t="inlineStr">
        <is>
          <t>Secondary</t>
        </is>
      </c>
      <c r="F17" s="9" t="inlineStr">
        <is>
          <t>Short-form vertical videos that tease games, media projects, and behind-the-scenes pipelines.</t>
        </is>
      </c>
      <c r="G17" t="inlineStr">
        <is>
          <t>Yes</t>
        </is>
      </c>
      <c r="H17" s="9" t="inlineStr">
        <is>
          <t>Phase 3 — NW + Merch + VoiceForge</t>
        </is>
      </c>
      <c r="J17" t="inlineStr">
        <is>
          <t>Idea</t>
        </is>
      </c>
      <c r="K17" t="inlineStr">
        <is>
          <t>Low-cost awareness funnel for all brands.</t>
        </is>
      </c>
      <c r="L17" s="9" t="inlineStr">
        <is>
          <t>A fast-moving stream of clips, sneak peeks, and tiny experiments from the AtlasForge lab.</t>
        </is>
      </c>
    </row>
    <row r="18">
      <c r="A18" t="inlineStr">
        <is>
          <t>T-VOICE</t>
        </is>
      </c>
      <c r="B18" t="inlineStr">
        <is>
          <t>VoiceForge</t>
        </is>
      </c>
      <c r="C18" t="inlineStr">
        <is>
          <t>AtlasForge Studio</t>
        </is>
      </c>
      <c r="D18" t="inlineStr">
        <is>
          <t>Studio Tool</t>
        </is>
      </c>
      <c r="E18" t="inlineStr">
        <is>
          <t>Secondary</t>
        </is>
      </c>
      <c r="F18" s="9" t="inlineStr">
        <is>
          <t>Lightweight voice and performance lab for creating consistent brand voices and NPC delivery.</t>
        </is>
      </c>
      <c r="G18" t="inlineStr">
        <is>
          <t>Yes</t>
        </is>
      </c>
      <c r="H18" s="9" t="inlineStr">
        <is>
          <t>Phase 3 — NW + Merch + VoiceForge</t>
        </is>
      </c>
      <c r="J18" t="inlineStr">
        <is>
          <t>Idea</t>
        </is>
      </c>
      <c r="K18" t="inlineStr">
        <is>
          <t>Supports games, media, and trailers; limited lines per run for control.</t>
        </is>
      </c>
      <c r="L18" s="9" t="inlineStr">
        <is>
          <t>A small but powerful voice lab for character reads, trailers, and narration tests.</t>
        </is>
      </c>
    </row>
    <row r="19">
      <c r="A19" t="inlineStr">
        <is>
          <t>T-HYPER</t>
        </is>
      </c>
      <c r="B19" t="inlineStr">
        <is>
          <t>Hypercasual Forge</t>
        </is>
      </c>
      <c r="C19" t="inlineStr">
        <is>
          <t>AtlasForge Studio</t>
        </is>
      </c>
      <c r="D19" t="inlineStr">
        <is>
          <t>Studio Tool</t>
        </is>
      </c>
      <c r="E19" t="inlineStr">
        <is>
          <t>Stretch</t>
        </is>
      </c>
      <c r="F19" s="9" t="inlineStr">
        <is>
          <t>Internal toolkit for designing and shipping small runner-style and tapper games quickly.</t>
        </is>
      </c>
      <c r="G19" t="inlineStr">
        <is>
          <t>Yes</t>
        </is>
      </c>
      <c r="H19" s="9" t="inlineStr">
        <is>
          <t>Phase 4 — Hypercasual Pipeline</t>
        </is>
      </c>
      <c r="J19" t="inlineStr">
        <is>
          <t>Idea</t>
        </is>
      </c>
      <c r="K19" t="inlineStr">
        <is>
          <t>Enables many small experiments off one core framework.</t>
        </is>
      </c>
      <c r="L19" s="9" t="inlineStr">
        <is>
          <t>A productionline for tiny, punchy hypercasual games spun from shared systems.</t>
        </is>
      </c>
    </row>
    <row r="20">
      <c r="A20" t="inlineStr">
        <is>
          <t>T-MUSIC</t>
        </is>
      </c>
      <c r="B20" t="inlineStr">
        <is>
          <t>SKB Audio Lab</t>
        </is>
      </c>
      <c r="C20" t="inlineStr">
        <is>
          <t>AtlasForge Studio</t>
        </is>
      </c>
      <c r="D20" t="inlineStr">
        <is>
          <t>Studio Tool</t>
        </is>
      </c>
      <c r="E20" t="inlineStr">
        <is>
          <t>Secondary</t>
        </is>
      </c>
      <c r="F20" s="9" t="inlineStr">
        <is>
          <t>Loop-focused music lab for simple cinematic, retro, and ambient tracks, scoped lighter than full AI music suites.</t>
        </is>
      </c>
      <c r="G20" t="inlineStr">
        <is>
          <t>Yes</t>
        </is>
      </c>
      <c r="H20" s="9" t="inlineStr">
        <is>
          <t>Phase 3 — NW + Merch + VoiceForge</t>
        </is>
      </c>
      <c r="J20" t="inlineStr">
        <is>
          <t>Idea</t>
        </is>
      </c>
      <c r="K20" t="inlineStr">
        <is>
          <t>Feeds soundtracks, stingers, and branding beats across the catalog.</t>
        </is>
      </c>
      <c r="L20" s="9" t="inlineStr">
        <is>
          <t>A focused audio lab for quick loops and themes that feel custom to each project.</t>
        </is>
      </c>
    </row>
    <row r="21">
      <c r="A21" t="inlineStr">
        <is>
          <t>T-MEDIA</t>
        </is>
      </c>
      <c r="B21" t="inlineStr">
        <is>
          <t>MediaForge Studio</t>
        </is>
      </c>
      <c r="C21" t="inlineStr">
        <is>
          <t>AtlasForge Studio</t>
        </is>
      </c>
      <c r="D21" t="inlineStr">
        <is>
          <t>Studio Tool</t>
        </is>
      </c>
      <c r="E21" t="inlineStr">
        <is>
          <t>Secondary</t>
        </is>
      </c>
      <c r="F21" s="9" t="inlineStr">
        <is>
          <t>Workspace for scripting, structuring, and rough-cut planning for documentaries and commentary pieces.</t>
        </is>
      </c>
      <c r="G21" t="inlineStr">
        <is>
          <t>Yes</t>
        </is>
      </c>
      <c r="H21" s="9" t="inlineStr">
        <is>
          <t>Phase 2 — OIA + Media Launch</t>
        </is>
      </c>
      <c r="J21" t="inlineStr">
        <is>
          <t>Idea</t>
        </is>
      </c>
      <c r="K21" t="inlineStr">
        <is>
          <t>Centralizes docs/episode planning; pairs well with Atlas-V Lite.</t>
        </is>
      </c>
      <c r="L21" s="9" t="inlineStr">
        <is>
          <t>A structured writing surface for turning rough research into tight, watchable episodes.</t>
        </is>
      </c>
    </row>
    <row r="22">
      <c r="A22" t="inlineStr">
        <is>
          <t>E-AE2</t>
        </is>
      </c>
      <c r="B22" t="inlineStr">
        <is>
          <t>Atlas Engine v2 Lab</t>
        </is>
      </c>
      <c r="C22" t="inlineStr">
        <is>
          <t>Atlas Engine &amp; Atlas-V</t>
        </is>
      </c>
      <c r="D22" t="inlineStr">
        <is>
          <t>Engine / R&amp;D</t>
        </is>
      </c>
      <c r="E22" t="inlineStr">
        <is>
          <t>R&amp;D only</t>
        </is>
      </c>
      <c r="F22" s="9" t="inlineStr">
        <is>
          <t>Internal track for experimenting with deeper orchestration, microkernel features, and autonomous loops.</t>
        </is>
      </c>
      <c r="G22" t="inlineStr">
        <is>
          <t>Maybe</t>
        </is>
      </c>
      <c r="H22" s="9" t="inlineStr">
        <is>
          <t>Phase 7 — Autonomous Systems</t>
        </is>
      </c>
      <c r="J22" t="inlineStr">
        <is>
          <t>Idea</t>
        </is>
      </c>
      <c r="K22" t="inlineStr">
        <is>
          <t>Pure R&amp;D; never public-facing, drives future governance iterations.</t>
        </is>
      </c>
      <c r="L22" s="9" t="inlineStr">
        <is>
          <t>Internal R&amp;D stream focused on the next generation of Atlas Engine capabilities.</t>
        </is>
      </c>
    </row>
    <row r="23">
      <c r="A23" t="inlineStr">
        <is>
          <t>E-AUTO-VIDEO</t>
        </is>
      </c>
      <c r="B23" t="inlineStr">
        <is>
          <t>Auto Documentary Pipeline</t>
        </is>
      </c>
      <c r="C23" t="inlineStr">
        <is>
          <t>Atlas Engine &amp; Atlas-V</t>
        </is>
      </c>
      <c r="D23" t="inlineStr">
        <is>
          <t>Engine / R&amp;D</t>
        </is>
      </c>
      <c r="E23" t="inlineStr">
        <is>
          <t>R&amp;D only</t>
        </is>
      </c>
      <c r="F23" s="9" t="inlineStr">
        <is>
          <t>Behind-the-scenes pipeline research for semi-automated documentary assembly under strict human review.</t>
        </is>
      </c>
      <c r="G23" t="inlineStr">
        <is>
          <t>Maybe</t>
        </is>
      </c>
      <c r="H23" s="9" t="inlineStr">
        <is>
          <t>Phase 7 — Autonomous Systems</t>
        </is>
      </c>
      <c r="J23" t="inlineStr">
        <is>
          <t>Idea</t>
        </is>
      </c>
      <c r="K23" t="inlineStr">
        <is>
          <t>Long-term differentiator; must remain private until production-ready.</t>
        </is>
      </c>
      <c r="L23" s="9" t="inlineStr">
        <is>
          <t>Internal experiment track for turning research, scripts, and assets into rough documentary passes.</t>
        </is>
      </c>
    </row>
    <row r="24">
      <c r="A24" t="inlineStr">
        <is>
          <t>E-WORLDSIM</t>
        </is>
      </c>
      <c r="B24" t="inlineStr">
        <is>
          <t>WorldSim Lab</t>
        </is>
      </c>
      <c r="C24" t="inlineStr">
        <is>
          <t>Atlas Engine &amp; Atlas-V</t>
        </is>
      </c>
      <c r="D24" t="inlineStr">
        <is>
          <t>Engine / R&amp;D</t>
        </is>
      </c>
      <c r="E24" t="inlineStr">
        <is>
          <t>R&amp;D only</t>
        </is>
      </c>
      <c r="F24" s="9" t="inlineStr">
        <is>
          <t>Simulation lab for procedural maps, civic systems, and long-horizon world states used by multiple games.</t>
        </is>
      </c>
      <c r="G24" t="inlineStr">
        <is>
          <t>Maybe</t>
        </is>
      </c>
      <c r="H24" s="9" t="inlineStr">
        <is>
          <t>Phase 5 — Engine Deepening</t>
        </is>
      </c>
      <c r="J24" t="inlineStr">
        <is>
          <t>Idea</t>
        </is>
      </c>
      <c r="K24" t="inlineStr">
        <is>
          <t>Shared backbone for OIA, Let’s Build the World, and future sims.</t>
        </is>
      </c>
      <c r="L24" s="9" t="inlineStr">
        <is>
          <t>Internal sandbox for testing map rules, time models, and cross-game world logic.</t>
        </is>
      </c>
    </row>
    <row r="25">
      <c r="A25" t="inlineStr">
        <is>
          <t>MC-CORE</t>
        </is>
      </c>
      <c r="B25" t="inlineStr">
        <is>
          <t>AtlasForge Core Merch</t>
        </is>
      </c>
      <c r="C25" t="inlineStr">
        <is>
          <t>AtlasForge Merch</t>
        </is>
      </c>
      <c r="D25" t="inlineStr">
        <is>
          <t>Merch</t>
        </is>
      </c>
      <c r="E25" t="inlineStr">
        <is>
          <t>Secondary</t>
        </is>
      </c>
      <c r="F25" s="9" t="inlineStr">
        <is>
          <t>Core brand shirts, hoodies, mugs, and subtle logo items spanning the umbrella studio.</t>
        </is>
      </c>
      <c r="G25" t="inlineStr">
        <is>
          <t>No</t>
        </is>
      </c>
      <c r="H25" s="9" t="inlineStr">
        <is>
          <t>Phase 3 — NW + Merch + VoiceForge</t>
        </is>
      </c>
      <c r="J25" t="inlineStr">
        <is>
          <t>Idea</t>
        </is>
      </c>
      <c r="K25" t="inlineStr">
        <is>
          <t>Baseline merch line once core brands are stable.</t>
        </is>
      </c>
      <c r="L25" s="9" t="inlineStr">
        <is>
          <t>Clean, low-noise merch with subtle AtlasForge branding and icons.</t>
        </is>
      </c>
    </row>
    <row r="26">
      <c r="A26" t="inlineStr">
        <is>
          <t>MC-OIA</t>
        </is>
      </c>
      <c r="B26" t="inlineStr">
        <is>
          <t>OIA Merch Line</t>
        </is>
      </c>
      <c r="C26" t="inlineStr">
        <is>
          <t>AtlasForge Merch</t>
        </is>
      </c>
      <c r="D26" t="inlineStr">
        <is>
          <t>Merch</t>
        </is>
      </c>
      <c r="E26" t="inlineStr">
        <is>
          <t>Secondary</t>
        </is>
      </c>
      <c r="F26" s="9" t="inlineStr">
        <is>
          <t>Character and location-driven merch for Octopus in Action (Mayor Octavius, departments, landmarks).</t>
        </is>
      </c>
      <c r="G26" t="inlineStr">
        <is>
          <t>No</t>
        </is>
      </c>
      <c r="H26" s="9" t="inlineStr">
        <is>
          <t>Phase 3 — NW + Merch + VoiceForge</t>
        </is>
      </c>
      <c r="J26" t="inlineStr">
        <is>
          <t>Idea</t>
        </is>
      </c>
      <c r="K26" t="inlineStr">
        <is>
          <t>Supports OIA fandom; easy to spin designs from existing art.</t>
        </is>
      </c>
      <c r="L26" s="9" t="inlineStr">
        <is>
          <t>Cozy civic-sim merch highlighting Mayor Octavius, town departments, and harbor life.</t>
        </is>
      </c>
    </row>
    <row r="27">
      <c r="A27" t="inlineStr">
        <is>
          <t>MC-NW</t>
        </is>
      </c>
      <c r="B27" t="inlineStr">
        <is>
          <t>Neighborhood Watch Merch</t>
        </is>
      </c>
      <c r="C27" t="inlineStr">
        <is>
          <t>AtlasForge Merch</t>
        </is>
      </c>
      <c r="D27" t="inlineStr">
        <is>
          <t>Merch</t>
        </is>
      </c>
      <c r="E27" t="inlineStr">
        <is>
          <t>Stretch</t>
        </is>
      </c>
      <c r="F27" s="9" t="inlineStr">
        <is>
          <t>Tongue-in-cheek merch for the Neighborhood Watch game (patrol logos, faux badges, horse jokes).</t>
        </is>
      </c>
      <c r="G27" t="inlineStr">
        <is>
          <t>No</t>
        </is>
      </c>
      <c r="H27" s="9" t="inlineStr">
        <is>
          <t>Phase 3 — NW + Merch + VoiceForge</t>
        </is>
      </c>
      <c r="J27" t="inlineStr">
        <is>
          <t>Idea</t>
        </is>
      </c>
      <c r="K27" t="inlineStr">
        <is>
          <t>Great for humor-forward designs and inside jokes.</t>
        </is>
      </c>
      <c r="L27" s="9" t="inlineStr">
        <is>
          <t>Playful 'official' gear for the most over-serious neighborhood patrol in history.</t>
        </is>
      </c>
    </row>
    <row r="28">
      <c r="A28" t="inlineStr">
        <is>
          <t>MC-ATLASV</t>
        </is>
      </c>
      <c r="B28" t="inlineStr">
        <is>
          <t>Atlas-V Signal Line</t>
        </is>
      </c>
      <c r="C28" t="inlineStr">
        <is>
          <t>AtlasForge Merch</t>
        </is>
      </c>
      <c r="D28" t="inlineStr">
        <is>
          <t>Merch</t>
        </is>
      </c>
      <c r="E28" t="inlineStr">
        <is>
          <t>Stretch</t>
        </is>
      </c>
      <c r="F28" s="9" t="inlineStr">
        <is>
          <t>Minimalist, signal-style merch featuring Atlas-V motifs, diagrams, and process icons.</t>
        </is>
      </c>
      <c r="G28" t="inlineStr">
        <is>
          <t>No</t>
        </is>
      </c>
      <c r="H28" s="9" t="inlineStr">
        <is>
          <t>Phase 5 — Engine Deepening</t>
        </is>
      </c>
      <c r="J28" t="inlineStr">
        <is>
          <t>Idea</t>
        </is>
      </c>
      <c r="K28" t="inlineStr">
        <is>
          <t>Targets tech-forward fans and creators.</t>
        </is>
      </c>
      <c r="L28" s="9" t="inlineStr">
        <is>
          <t>Sharp, minimal designs inspired by Atlas-V’s lattice, flows, and decision loops.</t>
        </is>
      </c>
    </row>
    <row r="29">
      <c r="A29" t="inlineStr">
        <is>
          <t>M-FORGE</t>
        </is>
      </c>
      <c r="B29" t="inlineStr">
        <is>
          <t>FilmForge Documentary Line</t>
        </is>
      </c>
      <c r="C29" t="inlineStr">
        <is>
          <t>AtlasForge Media</t>
        </is>
      </c>
      <c r="D29" t="inlineStr">
        <is>
          <t>Media</t>
        </is>
      </c>
      <c r="E29" t="inlineStr">
        <is>
          <t>Secondary</t>
        </is>
      </c>
      <c r="F29" s="9" t="inlineStr">
        <is>
          <t>Long-form AI-assisted documentaries</t>
        </is>
      </c>
      <c r="G29" t="inlineStr">
        <is>
          <t>Yes</t>
        </is>
      </c>
      <c r="H29" s="9" t="inlineStr">
        <is>
          <t>Phase 2</t>
        </is>
      </c>
      <c r="J29" t="inlineStr">
        <is>
          <t>Idea</t>
        </is>
      </c>
      <c r="L29" s="9" t="inlineStr">
        <is>
          <t>Premium doc series powered by Atlas-V</t>
        </is>
      </c>
    </row>
    <row r="30">
      <c r="A30" t="inlineStr">
        <is>
          <t>S-TOOL1</t>
        </is>
      </c>
      <c r="B30" t="inlineStr">
        <is>
          <t>Atlas Template Factory</t>
        </is>
      </c>
      <c r="C30" t="inlineStr">
        <is>
          <t>AtlasForge Studio</t>
        </is>
      </c>
      <c r="D30" t="inlineStr">
        <is>
          <t>Studio Tool</t>
        </is>
      </c>
      <c r="E30" t="inlineStr">
        <is>
          <t>Secondary</t>
        </is>
      </c>
      <c r="F30" s="9" t="inlineStr">
        <is>
          <t>Marketplace for templates/assets</t>
        </is>
      </c>
      <c r="G30" t="inlineStr">
        <is>
          <t>Yes</t>
        </is>
      </c>
      <c r="H30" s="9" t="inlineStr">
        <is>
          <t>Phase 3</t>
        </is>
      </c>
      <c r="J30" t="inlineStr">
        <is>
          <t>Idea</t>
        </is>
      </c>
      <c r="L30" s="9" t="inlineStr">
        <is>
          <t>Creator tools &amp; template marketplace</t>
        </is>
      </c>
    </row>
    <row r="31">
      <c r="A31" t="inlineStr">
        <is>
          <t>M-LORE</t>
        </is>
      </c>
      <c r="B31" t="inlineStr">
        <is>
          <t>LoreForge</t>
        </is>
      </c>
      <c r="C31" t="inlineStr">
        <is>
          <t>AtlasForge Media</t>
        </is>
      </c>
      <c r="D31" t="inlineStr">
        <is>
          <t>Media</t>
        </is>
      </c>
      <c r="E31" t="inlineStr">
        <is>
          <t>Secondary</t>
        </is>
      </c>
      <c r="F31" s="9" t="inlineStr">
        <is>
          <t>Deep-dive lore and worldbuilding series that stitches together Octopus in Action, Neighborhood Watch, and future IP into a shared AtlasForge universe.</t>
        </is>
      </c>
      <c r="G31" t="inlineStr">
        <is>
          <t>Yes</t>
        </is>
      </c>
      <c r="H31" s="9" t="inlineStr">
        <is>
          <t>Phase 2 — OIA + Media Launch</t>
        </is>
      </c>
      <c r="J31" t="inlineStr">
        <is>
          <t>Idea</t>
        </is>
      </c>
      <c r="K31" t="inlineStr">
        <is>
          <t>Internal lore lab brand that can support both marketing content and in‑game canon docs.</t>
        </is>
      </c>
      <c r="L31" s="9" t="inlineStr">
        <is>
          <t>Lore-focused videos and articles exploring the stories behind AtlasForge worlds.</t>
        </is>
      </c>
    </row>
    <row r="32">
      <c r="A32" t="inlineStr">
        <is>
          <t>M-EDU</t>
        </is>
      </c>
      <c r="B32" t="inlineStr">
        <is>
          <t>AtlasForge Academy</t>
        </is>
      </c>
      <c r="C32" t="inlineStr">
        <is>
          <t>AtlasForge Media</t>
        </is>
      </c>
      <c r="D32" t="inlineStr">
        <is>
          <t>Media</t>
        </is>
      </c>
      <c r="E32" t="inlineStr">
        <is>
          <t>Secondary</t>
        </is>
      </c>
      <c r="F32" s="9" t="inlineStr">
        <is>
          <t>Educational, faceless long-form explainers and mini-series about game design, simulation, narrative, and creative tooling.</t>
        </is>
      </c>
      <c r="G32" t="inlineStr">
        <is>
          <t>Yes</t>
        </is>
      </c>
      <c r="H32" s="9" t="inlineStr">
        <is>
          <t>Phase 2 — OIA + Media Launch</t>
        </is>
      </c>
      <c r="J32" t="inlineStr">
        <is>
          <t>Idea</t>
        </is>
      </c>
      <c r="K32" t="inlineStr">
        <is>
          <t>Acts as the educational wing of AtlasForge, reusing real project work as case studies.</t>
        </is>
      </c>
      <c r="L32" s="9" t="inlineStr">
        <is>
          <t>Structured explainers and series that teach through real AtlasForge projects.</t>
        </is>
      </c>
    </row>
    <row r="33">
      <c r="A33" t="inlineStr">
        <is>
          <t>S-MERCH-AUTO</t>
        </is>
      </c>
      <c r="B33" t="inlineStr">
        <is>
          <t>MerchForge Autopilot</t>
        </is>
      </c>
      <c r="C33" t="inlineStr">
        <is>
          <t>AtlasForge Studio</t>
        </is>
      </c>
      <c r="D33" t="inlineStr">
        <is>
          <t>Studio Tool</t>
        </is>
      </c>
      <c r="E33" t="inlineStr">
        <is>
          <t>Stretch</t>
        </is>
      </c>
      <c r="F33" s="9" t="inlineStr">
        <is>
          <t>Atlas Studio presets and flows to turn existing art, logos, and characters into ready-to-print merch briefs and packs.</t>
        </is>
      </c>
      <c r="G33" t="inlineStr">
        <is>
          <t>Yes</t>
        </is>
      </c>
      <c r="H33" s="9" t="inlineStr">
        <is>
          <t>Phase 3 — NW + Merch + VoiceForge</t>
        </is>
      </c>
      <c r="J33" t="inlineStr">
        <is>
          <t>Idea</t>
        </is>
      </c>
      <c r="K33" t="inlineStr">
        <is>
          <t>Bridges in-game art and print-on-demand vendors with minimal extra work.</t>
        </is>
      </c>
      <c r="L33" s="9" t="inlineStr">
        <is>
          <t>A small Studio-side tool that makes spinning up new merch designs fast and consistent.</t>
        </is>
      </c>
    </row>
    <row r="34">
      <c r="A34" t="inlineStr">
        <is>
          <t>S-DOCPIPE</t>
        </is>
      </c>
      <c r="B34" t="inlineStr">
        <is>
          <t>DocForge Pipeline</t>
        </is>
      </c>
      <c r="C34" t="inlineStr">
        <is>
          <t>AtlasForge Studio</t>
        </is>
      </c>
      <c r="D34" t="inlineStr">
        <is>
          <t>Studio Tool</t>
        </is>
      </c>
      <c r="E34" t="inlineStr">
        <is>
          <t>Stretch</t>
        </is>
      </c>
      <c r="F34" s="9" t="inlineStr">
        <is>
          <t>Repeatable documentary and educational video workflow: research, outline, script, shot list, and delivery checklists.</t>
        </is>
      </c>
      <c r="G34" t="inlineStr">
        <is>
          <t>Yes</t>
        </is>
      </c>
      <c r="H34" s="9" t="inlineStr">
        <is>
          <t>Phase 3 — NW + Merch + VoiceForge</t>
        </is>
      </c>
      <c r="J34" t="inlineStr">
        <is>
          <t>Idea</t>
        </is>
      </c>
      <c r="K34" t="inlineStr">
        <is>
          <t>Internal production pipeline backing FilmForge and Academy content.</t>
        </is>
      </c>
      <c r="L34" s="9" t="inlineStr">
        <is>
          <t>Template-driven doc production inside Atlas Studio POC.</t>
        </is>
      </c>
    </row>
    <row r="35">
      <c r="A35" t="inlineStr">
        <is>
          <t>E-CHANNEL</t>
        </is>
      </c>
      <c r="B35" t="inlineStr">
        <is>
          <t>Channel Engine</t>
        </is>
      </c>
      <c r="C35" t="inlineStr">
        <is>
          <t>Atlas Engine &amp; Atlas-V</t>
        </is>
      </c>
      <c r="D35" t="inlineStr">
        <is>
          <t>Engine / R&amp;D</t>
        </is>
      </c>
      <c r="E35" t="inlineStr">
        <is>
          <t>R&amp;D only</t>
        </is>
      </c>
      <c r="F35" s="9" t="inlineStr">
        <is>
          <t>Atlas Engine extensions for orchestrating content calendars, prompts, and review loops across multiple media brands.</t>
        </is>
      </c>
      <c r="G35" t="inlineStr">
        <is>
          <t>Yes</t>
        </is>
      </c>
      <c r="H35" s="9" t="inlineStr">
        <is>
          <t>Phase 7 — Autonomous Systems</t>
        </is>
      </c>
      <c r="J35" t="inlineStr">
        <is>
          <t>Idea</t>
        </is>
      </c>
      <c r="K35" t="inlineStr">
        <is>
          <t>Backbone for semi-automated but human-reviewed channels rather than pure firehose automation.</t>
        </is>
      </c>
      <c r="L35" s="9" t="inlineStr">
        <is>
          <t>Internal orchestration layer that quietly powers FilmForge, Academy, Shorts, and more.</t>
        </is>
      </c>
    </row>
    <row r="36">
      <c r="A36" t="inlineStr">
        <is>
          <t>E-GAMEGEN</t>
        </is>
      </c>
      <c r="B36" t="inlineStr">
        <is>
          <t>Hypercasual Design Forge</t>
        </is>
      </c>
      <c r="C36" t="inlineStr">
        <is>
          <t>Atlas Engine &amp; Atlas-V</t>
        </is>
      </c>
      <c r="D36" t="inlineStr">
        <is>
          <t>Engine / R&amp;D</t>
        </is>
      </c>
      <c r="E36" t="inlineStr">
        <is>
          <t>R&amp;D only</t>
        </is>
      </c>
      <c r="F36" s="9" t="inlineStr">
        <is>
          <t>Internal design pipeline to generate repeatable design docs and asset briefs for runner-style and hypercasual games.</t>
        </is>
      </c>
      <c r="G36" t="inlineStr">
        <is>
          <t>Yes</t>
        </is>
      </c>
      <c r="H36" s="9" t="inlineStr">
        <is>
          <t>Phase 4 — Hypercasual Pipeline</t>
        </is>
      </c>
      <c r="J36" t="inlineStr">
        <is>
          <t>Idea</t>
        </is>
      </c>
      <c r="K36" t="inlineStr">
        <is>
          <t>Treats runners and similar games as a content format that Atlas Engine can help spec repeatedly.</t>
        </is>
      </c>
      <c r="L36" s="9" t="inlineStr">
        <is>
          <t>A design factory that feeds the Hypercasual Runner slate, not a one-click game generator.</t>
        </is>
      </c>
    </row>
    <row r="37">
      <c r="A37" t="inlineStr">
        <is>
          <t>R-AUTOCHANNEL</t>
        </is>
      </c>
      <c r="B37" t="inlineStr">
        <is>
          <t>Autonomous Channel Lab</t>
        </is>
      </c>
      <c r="C37" t="inlineStr">
        <is>
          <t>Atlas Engine &amp; Atlas-V</t>
        </is>
      </c>
      <c r="D37" t="inlineStr">
        <is>
          <t>Engine / R&amp;D</t>
        </is>
      </c>
      <c r="E37" t="inlineStr">
        <is>
          <t>R&amp;D only</t>
        </is>
      </c>
      <c r="F37" s="9" t="inlineStr">
        <is>
          <t>Sandbox for experimenting with higher-automation content loops under strict governance and review.</t>
        </is>
      </c>
      <c r="G37" t="inlineStr">
        <is>
          <t>Yes</t>
        </is>
      </c>
      <c r="H37" s="9" t="inlineStr">
        <is>
          <t>Phase 7 — Autonomous Systems</t>
        </is>
      </c>
      <c r="J37" t="inlineStr">
        <is>
          <t>Idea</t>
        </is>
      </c>
      <c r="K37" t="inlineStr">
        <is>
          <t>Internal testing ground only; never marketed directly as a product.</t>
        </is>
      </c>
      <c r="L37" s="9" t="inlineStr">
        <is>
          <t>Long-horizon lab project exploring safe semi-autonomous creative systems.</t>
        </is>
      </c>
    </row>
    <row r="38">
      <c r="A38" t="inlineStr">
        <is>
          <t>R-DOCGEN</t>
        </is>
      </c>
      <c r="B38" t="inlineStr">
        <is>
          <t>Narrative Blueprint Lab</t>
        </is>
      </c>
      <c r="C38" t="inlineStr">
        <is>
          <t>Atlas Engine &amp; Atlas-V</t>
        </is>
      </c>
      <c r="D38" t="inlineStr">
        <is>
          <t>Engine / R&amp;D</t>
        </is>
      </c>
      <c r="E38" t="inlineStr">
        <is>
          <t>R&amp;D only</t>
        </is>
      </c>
      <c r="F38" s="9" t="inlineStr">
        <is>
          <t>R&amp;D space for scenario templates, narrative structures, and modular quest/dialogue patterns for future projects.</t>
        </is>
      </c>
      <c r="G38" t="inlineStr">
        <is>
          <t>Yes</t>
        </is>
      </c>
      <c r="H38" s="9" t="inlineStr">
        <is>
          <t>Phase 5 — Engine Deepening</t>
        </is>
      </c>
      <c r="J38" t="inlineStr">
        <is>
          <t>Idea</t>
        </is>
      </c>
      <c r="K38" t="inlineStr">
        <is>
          <t>Helps future games and media share a library of reusable narrative structures without feeling copy-pasted.</t>
        </is>
      </c>
      <c r="L38" s="9" t="inlineStr">
        <is>
          <t>Internal storytelling lab to keep AtlasForge worlds coherent and flexible.</t>
        </is>
      </c>
    </row>
  </sheetData>
  <conditionalFormatting sqref="H2:H5">
    <cfRule type="colorScale" priority="1">
      <colorScale>
        <cfvo type="min"/>
        <cfvo type="percentile" val="50"/>
        <cfvo type="max"/>
        <color rgb="00D8F5A2"/>
        <color rgb="00FFD43B"/>
        <color rgb="00FF6B6B"/>
      </colorScale>
    </cfRule>
  </conditionalFormatting>
  <dataValidations count="16">
    <dataValidation sqref="C2:C10" showErrorMessage="1" showInputMessage="1" allowBlank="1" type="list">
      <formula1>=Brand_List</formula1>
    </dataValidation>
    <dataValidation sqref="D2:D10" showErrorMessage="1" showInputMessage="1" allowBlank="1" type="list">
      <formula1>=Category_List</formula1>
    </dataValidation>
    <dataValidation sqref="E2:E10" showErrorMessage="1" showInputMessage="1" allowBlank="1" type="list">
      <formula1>=Tier_List</formula1>
    </dataValidation>
    <dataValidation sqref="G2:G10" showErrorMessage="1" showInputMessage="1" allowBlank="1" type="list">
      <formula1>=Powered_By_AtlasV_List</formula1>
    </dataValidation>
    <dataValidation sqref="H2:H10" showErrorMessage="1" showInputMessage="1" allowBlank="1" type="list">
      <formula1>=Phase_List</formula1>
    </dataValidation>
    <dataValidation sqref="C2:C6" showErrorMessage="1" showInputMessage="1" allowBlank="1" type="list">
      <formula1>=Brand_List</formula1>
    </dataValidation>
    <dataValidation sqref="D2:D6" showErrorMessage="1" showInputMessage="1" allowBlank="1" type="list">
      <formula1>=Category_List</formula1>
    </dataValidation>
    <dataValidation sqref="E2:E6" showErrorMessage="1" showInputMessage="1" allowBlank="1" type="list">
      <formula1>=Tier_List</formula1>
    </dataValidation>
    <dataValidation sqref="G2:G6" showErrorMessage="1" showInputMessage="1" allowBlank="1" type="list">
      <formula1>=Powered_By_AtlasV_List</formula1>
    </dataValidation>
    <dataValidation sqref="H2:H6" showErrorMessage="1" showInputMessage="1" allowBlank="1" type="list">
      <formula1>=Phase_List</formula1>
    </dataValidation>
    <dataValidation sqref="M2:M6" showErrorMessage="1" showInputMessage="1" allowBlank="1" type="list">
      <formula1>=Include_Public_List</formula1>
    </dataValidation>
    <dataValidation sqref="C2:C38" showErrorMessage="1" showInputMessage="1" allowBlank="1" type="list">
      <formula1>=Lists!$B$2:$B$6</formula1>
    </dataValidation>
    <dataValidation sqref="D2:D38" showErrorMessage="1" showInputMessage="1" allowBlank="1" type="list">
      <formula1>=Lists!$C$2:$C$6</formula1>
    </dataValidation>
    <dataValidation sqref="E2:E38" showErrorMessage="1" showInputMessage="1" allowBlank="1" type="list">
      <formula1>=Lists!$E$2:$E$5</formula1>
    </dataValidation>
    <dataValidation sqref="G2:G38" showErrorMessage="1" showInputMessage="1" allowBlank="1" type="list">
      <formula1>=Lists!$H$2:$H$4</formula1>
    </dataValidation>
    <dataValidation sqref="H2:H38" showErrorMessage="1" showInputMessage="1" allowBlank="1" type="list">
      <formula1>=Lists!$I$2:$I$8</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92D050"/>
    <outlinePr summaryBelow="1" summaryRight="1"/>
    <pageSetUpPr/>
  </sheetPr>
  <dimension ref="A1:K51"/>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15" customWidth="1" min="1" max="1"/>
    <col width="28" customWidth="1" min="2" max="2"/>
    <col width="17" customWidth="1" min="3" max="3"/>
    <col width="14" customWidth="1" min="4" max="4"/>
    <col width="18" customWidth="1" min="5" max="5"/>
    <col width="45" customWidth="1" min="6" max="6"/>
    <col width="42" customWidth="1" min="7" max="7"/>
    <col width="45" customWidth="1" min="8" max="8"/>
    <col width="44" customWidth="1" min="9" max="9"/>
    <col width="45" customWidth="1" min="10" max="10"/>
    <col width="45" customWidth="1" min="11" max="11"/>
  </cols>
  <sheetData>
    <row r="1" ht="24" customHeight="1">
      <c r="A1" s="8" t="inlineStr">
        <is>
          <t>ID</t>
        </is>
      </c>
      <c r="B1" s="8" t="inlineStr">
        <is>
          <t>Name</t>
        </is>
      </c>
      <c r="C1" s="8" t="inlineStr">
        <is>
          <t>Difficulty_Band</t>
        </is>
      </c>
      <c r="D1" s="8" t="inlineStr">
        <is>
          <t>Revenue_Band</t>
        </is>
      </c>
      <c r="E1" s="8" t="inlineStr">
        <is>
          <t>Public_Viability</t>
        </is>
      </c>
      <c r="F1" s="8" t="inlineStr">
        <is>
          <t>Audience_Segment</t>
        </is>
      </c>
      <c r="G1" s="8" t="inlineStr">
        <is>
          <t>Platform_Type</t>
        </is>
      </c>
      <c r="H1" s="8" t="inlineStr">
        <is>
          <t>Internal_Only_Components</t>
        </is>
      </c>
      <c r="I1" s="8" t="inlineStr">
        <is>
          <t>Dependencies</t>
        </is>
      </c>
      <c r="J1" s="8" t="inlineStr">
        <is>
          <t>AtlasV_Usage_Notes</t>
        </is>
      </c>
      <c r="K1" s="8" t="inlineStr">
        <is>
          <t>Risk_Notes</t>
        </is>
      </c>
    </row>
    <row r="2">
      <c r="A2" t="inlineStr">
        <is>
          <t>G-OIA</t>
        </is>
      </c>
      <c r="B2" t="inlineStr">
        <is>
          <t>Octopus in Action</t>
        </is>
      </c>
      <c r="C2" t="inlineStr">
        <is>
          <t>Medium-High</t>
        </is>
      </c>
      <c r="D2" t="inlineStr">
        <is>
          <t>High</t>
        </is>
      </c>
      <c r="E2" t="inlineStr">
        <is>
          <t>High</t>
        </is>
      </c>
      <c r="F2" s="9" t="inlineStr">
        <is>
          <t>Cozy management &amp; sim players</t>
        </is>
      </c>
      <c r="G2" s="9" t="inlineStr">
        <is>
          <t>PC / Console</t>
        </is>
      </c>
      <c r="H2" s="9" t="inlineStr">
        <is>
          <t>Internal: task-routing rules, department scheduling logic.</t>
        </is>
      </c>
      <c r="I2" s="9" t="inlineStr">
        <is>
          <t>Requires Atlas-V, Studio POC.</t>
        </is>
      </c>
      <c r="J2" s="9" t="inlineStr">
        <is>
          <t>Drives daily loops, coaching player decisions.</t>
        </is>
      </c>
      <c r="K2" s="9" t="inlineStr">
        <is>
          <t>Scope creep risk; must remain cozy and legible.</t>
        </is>
      </c>
    </row>
    <row r="3">
      <c r="A3" t="inlineStr">
        <is>
          <t>G-NW</t>
        </is>
      </c>
      <c r="B3" t="inlineStr">
        <is>
          <t>Neighborhood Watch</t>
        </is>
      </c>
      <c r="C3" t="inlineStr">
        <is>
          <t>High</t>
        </is>
      </c>
      <c r="D3" t="inlineStr">
        <is>
          <t>High</t>
        </is>
      </c>
      <c r="E3" t="inlineStr">
        <is>
          <t>High</t>
        </is>
      </c>
      <c r="F3" s="9" t="inlineStr">
        <is>
          <t>Fans of police sims and satire</t>
        </is>
      </c>
      <c r="G3" s="9" t="inlineStr">
        <is>
          <t>PC / Console</t>
        </is>
      </c>
      <c r="H3" s="9" t="inlineStr">
        <is>
          <t>Internal: tone guardrails, escalation rules.</t>
        </is>
      </c>
      <c r="I3" s="9" t="inlineStr">
        <is>
          <t>Requires narrative tools, tone guardrails.</t>
        </is>
      </c>
      <c r="J3" s="9" t="inlineStr">
        <is>
          <t>Helps generate and triage call scenarios.</t>
        </is>
      </c>
      <c r="K3" s="9" t="inlineStr">
        <is>
          <t>Tone is sensitive; must be carefully governed.</t>
        </is>
      </c>
    </row>
    <row r="4">
      <c r="A4" t="inlineStr">
        <is>
          <t>M-FILM</t>
        </is>
      </c>
      <c r="B4" t="inlineStr">
        <is>
          <t>FilmForge</t>
        </is>
      </c>
      <c r="C4" t="inlineStr">
        <is>
          <t>Medium</t>
        </is>
      </c>
      <c r="D4" t="inlineStr">
        <is>
          <t>Medium-High</t>
        </is>
      </c>
      <c r="E4" t="inlineStr">
        <is>
          <t>High</t>
        </is>
      </c>
      <c r="F4" s="9" t="inlineStr">
        <is>
          <t>Viewers of docs and explainers</t>
        </is>
      </c>
      <c r="G4" s="9" t="inlineStr">
        <is>
          <t>Web / Streaming</t>
        </is>
      </c>
      <c r="H4" s="9" t="inlineStr">
        <is>
          <t>Internal: automated pipelines not public.</t>
        </is>
      </c>
      <c r="I4" s="9" t="inlineStr">
        <is>
          <t>Needs media toolchain, rights mgmt.</t>
        </is>
      </c>
      <c r="J4" s="9" t="inlineStr">
        <is>
          <t>Assists with research, outlines, and continuity.</t>
        </is>
      </c>
      <c r="K4" s="9" t="inlineStr">
        <is>
          <t>Rights, research, and QA are key risks.</t>
        </is>
      </c>
    </row>
    <row r="5">
      <c r="A5" t="inlineStr">
        <is>
          <t>T-STUDIOPOC</t>
        </is>
      </c>
      <c r="B5" t="inlineStr">
        <is>
          <t>Atlas Studio POC</t>
        </is>
      </c>
      <c r="C5" t="inlineStr">
        <is>
          <t>Medium-High</t>
        </is>
      </c>
      <c r="D5" t="inlineStr">
        <is>
          <t>High</t>
        </is>
      </c>
      <c r="E5" t="inlineStr">
        <is>
          <t>Internal-only</t>
        </is>
      </c>
      <c r="F5" s="9" t="inlineStr">
        <is>
          <t>Internal/external creators in tests</t>
        </is>
      </c>
      <c r="G5" s="9" t="inlineStr">
        <is>
          <t>Web</t>
        </is>
      </c>
      <c r="H5" s="9" t="inlineStr">
        <is>
          <t>Internal orchestration, governance surfaces.</t>
        </is>
      </c>
      <c r="I5" s="9" t="inlineStr">
        <is>
          <t>Requires Atlas Engine, Atlas-V.</t>
        </is>
      </c>
      <c r="J5" s="9" t="inlineStr">
        <is>
          <t>Central orchestrator for workflows and prompts.</t>
        </is>
      </c>
      <c r="K5" s="9" t="inlineStr">
        <is>
          <t>UX complexity; must stay legible.</t>
        </is>
      </c>
    </row>
    <row r="6"/>
    <row r="7"/>
    <row r="8"/>
    <row r="9"/>
    <row r="10"/>
    <row r="11"/>
    <row r="12"/>
    <row r="13"/>
    <row r="14"/>
    <row r="15"/>
    <row r="16"/>
    <row r="17"/>
    <row r="18"/>
    <row r="19"/>
    <row r="20"/>
    <row r="21">
      <c r="A21" t="inlineStr">
        <is>
          <t>G-DD</t>
        </is>
      </c>
      <c r="B21" t="inlineStr">
        <is>
          <t>D/D</t>
        </is>
      </c>
      <c r="C21" t="inlineStr">
        <is>
          <t>Medium-High</t>
        </is>
      </c>
      <c r="D21" t="inlineStr">
        <is>
          <t>High</t>
        </is>
      </c>
      <c r="E21" t="inlineStr">
        <is>
          <t>High</t>
        </is>
      </c>
      <c r="F21" s="9" t="inlineStr">
        <is>
          <t>PC &amp; console gamers</t>
        </is>
      </c>
      <c r="G21" s="9" t="inlineStr">
        <is>
          <t>PC (Steam) first, possible console later</t>
        </is>
      </c>
    </row>
    <row r="22">
      <c r="A22" t="inlineStr">
        <is>
          <t>G-CONQ</t>
        </is>
      </c>
      <c r="B22" t="inlineStr">
        <is>
          <t>Conquest</t>
        </is>
      </c>
      <c r="C22" t="inlineStr">
        <is>
          <t>Medium-High</t>
        </is>
      </c>
      <c r="D22" t="inlineStr">
        <is>
          <t>High</t>
        </is>
      </c>
      <c r="E22" t="inlineStr">
        <is>
          <t>High</t>
        </is>
      </c>
      <c r="F22" s="9" t="inlineStr">
        <is>
          <t>RTS / strategy players</t>
        </is>
      </c>
      <c r="G22" s="9" t="inlineStr">
        <is>
          <t>PC (Steam) first, possible console later</t>
        </is>
      </c>
    </row>
    <row r="23">
      <c r="A23" t="inlineStr">
        <is>
          <t>G-FEUD</t>
        </is>
      </c>
      <c r="B23" t="inlineStr">
        <is>
          <t>Feud</t>
        </is>
      </c>
      <c r="C23" t="inlineStr">
        <is>
          <t>Medium-High</t>
        </is>
      </c>
      <c r="D23" t="inlineStr">
        <is>
          <t>High</t>
        </is>
      </c>
      <c r="E23" t="inlineStr">
        <is>
          <t>High</t>
        </is>
      </c>
      <c r="F23" s="9" t="inlineStr">
        <is>
          <t>PC &amp; console gamers</t>
        </is>
      </c>
      <c r="G23" s="9" t="inlineStr">
        <is>
          <t>PC (Steam) first, possible console later</t>
        </is>
      </c>
    </row>
    <row r="24">
      <c r="A24" t="inlineStr">
        <is>
          <t>G-RUN</t>
        </is>
      </c>
      <c r="B24" t="inlineStr">
        <is>
          <t>Runners</t>
        </is>
      </c>
      <c r="C24" t="inlineStr">
        <is>
          <t>Medium-High</t>
        </is>
      </c>
      <c r="D24" t="inlineStr">
        <is>
          <t>Medium</t>
        </is>
      </c>
      <c r="E24" t="inlineStr">
        <is>
          <t>High</t>
        </is>
      </c>
      <c r="F24" s="9" t="inlineStr">
        <is>
          <t>PC &amp; console gamers</t>
        </is>
      </c>
      <c r="G24" s="9" t="inlineStr">
        <is>
          <t>PC (Steam) first, possible console later</t>
        </is>
      </c>
    </row>
    <row r="25">
      <c r="A25" t="inlineStr">
        <is>
          <t>G-AAB</t>
        </is>
      </c>
      <c r="B25" t="inlineStr">
        <is>
          <t>All A Board</t>
        </is>
      </c>
      <c r="C25" t="inlineStr">
        <is>
          <t>Medium-High</t>
        </is>
      </c>
      <c r="D25" t="inlineStr">
        <is>
          <t>Medium</t>
        </is>
      </c>
      <c r="E25" t="inlineStr">
        <is>
          <t>High</t>
        </is>
      </c>
      <c r="F25" s="9" t="inlineStr">
        <is>
          <t>PC &amp; console gamers</t>
        </is>
      </c>
      <c r="G25" s="9" t="inlineStr">
        <is>
          <t>PC (Steam) first, possible console later</t>
        </is>
      </c>
    </row>
    <row r="26">
      <c r="A26" t="inlineStr">
        <is>
          <t>G-LBTW</t>
        </is>
      </c>
      <c r="B26" t="inlineStr">
        <is>
          <t>Let’s Build the World</t>
        </is>
      </c>
      <c r="C26" t="inlineStr">
        <is>
          <t>High</t>
        </is>
      </c>
      <c r="D26" t="inlineStr">
        <is>
          <t>High</t>
        </is>
      </c>
      <c r="E26" t="inlineStr">
        <is>
          <t>High</t>
        </is>
      </c>
      <c r="F26" s="9" t="inlineStr">
        <is>
          <t>PC &amp; console gamers</t>
        </is>
      </c>
      <c r="G26" s="9" t="inlineStr">
        <is>
          <t>PC (Steam) first, possible console later</t>
        </is>
      </c>
    </row>
    <row r="27">
      <c r="A27" t="inlineStr">
        <is>
          <t>G-AUTO</t>
        </is>
      </c>
      <c r="B27" t="inlineStr">
        <is>
          <t>Relayworks</t>
        </is>
      </c>
      <c r="C27" t="inlineStr">
        <is>
          <t>Medium-High</t>
        </is>
      </c>
      <c r="D27" t="inlineStr">
        <is>
          <t>High</t>
        </is>
      </c>
      <c r="E27" t="inlineStr">
        <is>
          <t>High</t>
        </is>
      </c>
      <c r="F27" s="9" t="inlineStr">
        <is>
          <t>PC &amp; console gamers</t>
        </is>
      </c>
      <c r="G27" s="9" t="inlineStr">
        <is>
          <t>PC (Steam) first, possible console later</t>
        </is>
      </c>
    </row>
    <row r="28">
      <c r="A28" t="inlineStr">
        <is>
          <t>M-COM</t>
        </is>
      </c>
      <c r="B28" t="inlineStr">
        <is>
          <t>ComedyForge</t>
        </is>
      </c>
      <c r="C28" t="inlineStr">
        <is>
          <t>Medium</t>
        </is>
      </c>
      <c r="D28" t="inlineStr">
        <is>
          <t>Medium</t>
        </is>
      </c>
      <c r="E28" t="inlineStr">
        <is>
          <t>High</t>
        </is>
      </c>
      <c r="F28" s="9" t="inlineStr">
        <is>
          <t>Viewers of long-form educational &amp; commentary content</t>
        </is>
      </c>
      <c r="G28" s="9" t="inlineStr">
        <is>
          <t>YouTube / streaming</t>
        </is>
      </c>
    </row>
    <row r="29">
      <c r="A29" t="inlineStr">
        <is>
          <t>M-STORY</t>
        </is>
      </c>
      <c r="B29" t="inlineStr">
        <is>
          <t>StoryForge</t>
        </is>
      </c>
      <c r="C29" t="inlineStr">
        <is>
          <t>Medium</t>
        </is>
      </c>
      <c r="D29" t="inlineStr">
        <is>
          <t>High</t>
        </is>
      </c>
      <c r="E29" t="inlineStr">
        <is>
          <t>High</t>
        </is>
      </c>
      <c r="F29" s="9" t="inlineStr">
        <is>
          <t>Viewers of long-form educational &amp; commentary content</t>
        </is>
      </c>
      <c r="G29" s="9" t="inlineStr">
        <is>
          <t>YouTube / streaming</t>
        </is>
      </c>
    </row>
    <row r="30">
      <c r="A30" t="inlineStr">
        <is>
          <t>M-SHORT</t>
        </is>
      </c>
      <c r="B30" t="inlineStr">
        <is>
          <t>AtlasForge Shorts</t>
        </is>
      </c>
      <c r="C30" t="inlineStr">
        <is>
          <t>Medium</t>
        </is>
      </c>
      <c r="D30" t="inlineStr">
        <is>
          <t>Medium</t>
        </is>
      </c>
      <c r="E30" t="inlineStr">
        <is>
          <t>High</t>
        </is>
      </c>
      <c r="F30" s="9" t="inlineStr">
        <is>
          <t>Viewers of long-form educational &amp; commentary content</t>
        </is>
      </c>
      <c r="G30" s="9" t="inlineStr">
        <is>
          <t>YouTube / streaming</t>
        </is>
      </c>
    </row>
    <row r="31">
      <c r="A31" t="inlineStr">
        <is>
          <t>T-VOICE</t>
        </is>
      </c>
      <c r="B31" t="inlineStr">
        <is>
          <t>VoiceForge</t>
        </is>
      </c>
      <c r="C31" t="inlineStr">
        <is>
          <t>Medium-High</t>
        </is>
      </c>
      <c r="D31" t="inlineStr">
        <is>
          <t>High</t>
        </is>
      </c>
      <c r="E31" t="inlineStr">
        <is>
          <t>High</t>
        </is>
      </c>
      <c r="F31" s="9" t="inlineStr">
        <is>
          <t>Creators using Atlas Studio</t>
        </is>
      </c>
      <c r="G31" s="9" t="inlineStr">
        <is>
          <t>Web + desktop</t>
        </is>
      </c>
    </row>
    <row r="32">
      <c r="A32" t="inlineStr">
        <is>
          <t>T-HYPER</t>
        </is>
      </c>
      <c r="B32" t="inlineStr">
        <is>
          <t>Hypercasual Forge</t>
        </is>
      </c>
      <c r="C32" t="inlineStr">
        <is>
          <t>Medium</t>
        </is>
      </c>
      <c r="D32" t="inlineStr">
        <is>
          <t>High</t>
        </is>
      </c>
      <c r="E32" t="inlineStr">
        <is>
          <t>High</t>
        </is>
      </c>
      <c r="F32" s="9" t="inlineStr">
        <is>
          <t>Creators using Atlas Studio</t>
        </is>
      </c>
      <c r="G32" s="9" t="inlineStr">
        <is>
          <t>Web + desktop</t>
        </is>
      </c>
    </row>
    <row r="33">
      <c r="A33" t="inlineStr">
        <is>
          <t>T-MUSIC</t>
        </is>
      </c>
      <c r="B33" t="inlineStr">
        <is>
          <t>SKB Audio Lab</t>
        </is>
      </c>
      <c r="C33" t="inlineStr">
        <is>
          <t>Medium-High</t>
        </is>
      </c>
      <c r="D33" t="inlineStr">
        <is>
          <t>High</t>
        </is>
      </c>
      <c r="E33" t="inlineStr">
        <is>
          <t>High</t>
        </is>
      </c>
      <c r="F33" s="9" t="inlineStr">
        <is>
          <t>Creators using Atlas Studio</t>
        </is>
      </c>
      <c r="G33" s="9" t="inlineStr">
        <is>
          <t>Web + desktop</t>
        </is>
      </c>
    </row>
    <row r="34">
      <c r="A34" t="inlineStr">
        <is>
          <t>T-MEDIA</t>
        </is>
      </c>
      <c r="B34" t="inlineStr">
        <is>
          <t>MediaForge Studio</t>
        </is>
      </c>
      <c r="C34" t="inlineStr">
        <is>
          <t>Medium-High</t>
        </is>
      </c>
      <c r="D34" t="inlineStr">
        <is>
          <t>High</t>
        </is>
      </c>
      <c r="E34" t="inlineStr">
        <is>
          <t>High</t>
        </is>
      </c>
      <c r="F34" s="9" t="inlineStr">
        <is>
          <t>Creators using Atlas Studio</t>
        </is>
      </c>
      <c r="G34" s="9" t="inlineStr">
        <is>
          <t>Web + desktop</t>
        </is>
      </c>
    </row>
    <row r="35">
      <c r="A35" t="inlineStr">
        <is>
          <t>E-AE2</t>
        </is>
      </c>
      <c r="B35" t="inlineStr">
        <is>
          <t>Atlas Engine v2 Lab</t>
        </is>
      </c>
      <c r="C35" t="inlineStr">
        <is>
          <t>Very High</t>
        </is>
      </c>
      <c r="D35" t="inlineStr">
        <is>
          <t>High</t>
        </is>
      </c>
      <c r="E35" t="inlineStr">
        <is>
          <t>Niche</t>
        </is>
      </c>
      <c r="F35" s="9" t="inlineStr">
        <is>
          <t>Internal devs / advanced partners</t>
        </is>
      </c>
      <c r="G35" s="9" t="inlineStr">
        <is>
          <t>Web + desktop</t>
        </is>
      </c>
    </row>
    <row r="36">
      <c r="A36" t="inlineStr">
        <is>
          <t>E-AUTO-VIDEO</t>
        </is>
      </c>
      <c r="B36" t="inlineStr">
        <is>
          <t>Auto Documentary Pipeline</t>
        </is>
      </c>
      <c r="C36" t="inlineStr">
        <is>
          <t>Very High</t>
        </is>
      </c>
      <c r="D36" t="inlineStr">
        <is>
          <t>High</t>
        </is>
      </c>
      <c r="E36" t="inlineStr">
        <is>
          <t>Niche</t>
        </is>
      </c>
      <c r="F36" s="9" t="inlineStr">
        <is>
          <t>Internal devs / advanced partners</t>
        </is>
      </c>
      <c r="G36" s="9" t="inlineStr">
        <is>
          <t>Web + desktop</t>
        </is>
      </c>
    </row>
    <row r="37">
      <c r="A37" t="inlineStr">
        <is>
          <t>E-WORLDSIM</t>
        </is>
      </c>
      <c r="B37" t="inlineStr">
        <is>
          <t>WorldSim Lab</t>
        </is>
      </c>
      <c r="C37" t="inlineStr">
        <is>
          <t>Very High</t>
        </is>
      </c>
      <c r="D37" t="inlineStr">
        <is>
          <t>High</t>
        </is>
      </c>
      <c r="E37" t="inlineStr">
        <is>
          <t>Niche</t>
        </is>
      </c>
      <c r="F37" s="9" t="inlineStr">
        <is>
          <t>Internal devs / advanced partners</t>
        </is>
      </c>
      <c r="G37" s="9" t="inlineStr">
        <is>
          <t>Web + desktop</t>
        </is>
      </c>
    </row>
    <row r="38">
      <c r="A38" t="inlineStr">
        <is>
          <t>MC-CORE</t>
        </is>
      </c>
      <c r="B38" t="inlineStr">
        <is>
          <t>AtlasForge Core Merch</t>
        </is>
      </c>
      <c r="C38" t="inlineStr">
        <is>
          <t>Low</t>
        </is>
      </c>
      <c r="D38" t="inlineStr">
        <is>
          <t>Medium</t>
        </is>
      </c>
      <c r="E38" t="inlineStr">
        <is>
          <t>Medium</t>
        </is>
      </c>
      <c r="F38" s="9" t="inlineStr">
        <is>
          <t>Fans of AtlasForge IP</t>
        </is>
      </c>
      <c r="G38" s="9" t="inlineStr">
        <is>
          <t>Online store</t>
        </is>
      </c>
    </row>
    <row r="39">
      <c r="A39" t="inlineStr">
        <is>
          <t>MC-OIA</t>
        </is>
      </c>
      <c r="B39" t="inlineStr">
        <is>
          <t>OIA Merch Line</t>
        </is>
      </c>
      <c r="C39" t="inlineStr">
        <is>
          <t>Low</t>
        </is>
      </c>
      <c r="D39" t="inlineStr">
        <is>
          <t>Medium</t>
        </is>
      </c>
      <c r="E39" t="inlineStr">
        <is>
          <t>Medium</t>
        </is>
      </c>
      <c r="F39" s="9" t="inlineStr">
        <is>
          <t>Fans of AtlasForge IP</t>
        </is>
      </c>
      <c r="G39" s="9" t="inlineStr">
        <is>
          <t>Online store</t>
        </is>
      </c>
    </row>
    <row r="40">
      <c r="A40" t="inlineStr">
        <is>
          <t>MC-NW</t>
        </is>
      </c>
      <c r="B40" t="inlineStr">
        <is>
          <t>Neighborhood Watch Merch</t>
        </is>
      </c>
      <c r="C40" t="inlineStr">
        <is>
          <t>Low</t>
        </is>
      </c>
      <c r="D40" t="inlineStr">
        <is>
          <t>Medium</t>
        </is>
      </c>
      <c r="E40" t="inlineStr">
        <is>
          <t>Medium</t>
        </is>
      </c>
      <c r="F40" s="9" t="inlineStr">
        <is>
          <t>Fans of AtlasForge IP</t>
        </is>
      </c>
      <c r="G40" s="9" t="inlineStr">
        <is>
          <t>Online store</t>
        </is>
      </c>
    </row>
    <row r="41">
      <c r="A41" t="inlineStr">
        <is>
          <t>MC-ATLASV</t>
        </is>
      </c>
      <c r="B41" t="inlineStr">
        <is>
          <t>Atlas-V Signal Line</t>
        </is>
      </c>
      <c r="C41" t="inlineStr">
        <is>
          <t>Low</t>
        </is>
      </c>
      <c r="D41" t="inlineStr">
        <is>
          <t>Medium</t>
        </is>
      </c>
      <c r="E41" t="inlineStr">
        <is>
          <t>Medium</t>
        </is>
      </c>
      <c r="F41" s="9" t="inlineStr">
        <is>
          <t>Fans of AtlasForge IP</t>
        </is>
      </c>
      <c r="G41" s="9" t="inlineStr">
        <is>
          <t>Online store</t>
        </is>
      </c>
    </row>
    <row r="42">
      <c r="A42" t="inlineStr">
        <is>
          <t>M-FORGE</t>
        </is>
      </c>
      <c r="B42" t="inlineStr">
        <is>
          <t>FilmForge Documentary Line</t>
        </is>
      </c>
      <c r="C42" t="inlineStr">
        <is>
          <t>Medium</t>
        </is>
      </c>
      <c r="D42" t="inlineStr">
        <is>
          <t>Medium</t>
        </is>
      </c>
      <c r="E42" t="inlineStr">
        <is>
          <t>High</t>
        </is>
      </c>
      <c r="F42" s="9" t="inlineStr">
        <is>
          <t>Viewers of long-form educational &amp; commentary content</t>
        </is>
      </c>
      <c r="G42" s="9" t="inlineStr">
        <is>
          <t>YouTube / streaming</t>
        </is>
      </c>
    </row>
    <row r="43">
      <c r="A43" t="inlineStr">
        <is>
          <t>S-TOOL1</t>
        </is>
      </c>
      <c r="B43" t="inlineStr">
        <is>
          <t>Atlas Template Factory</t>
        </is>
      </c>
      <c r="C43" t="inlineStr">
        <is>
          <t>Medium-High</t>
        </is>
      </c>
      <c r="D43" t="inlineStr">
        <is>
          <t>High</t>
        </is>
      </c>
      <c r="E43" t="inlineStr">
        <is>
          <t>High</t>
        </is>
      </c>
      <c r="F43" s="9" t="inlineStr">
        <is>
          <t>Creators using Atlas Studio</t>
        </is>
      </c>
      <c r="G43" s="9" t="inlineStr">
        <is>
          <t>Web + desktop</t>
        </is>
      </c>
    </row>
    <row r="44">
      <c r="A44" t="inlineStr">
        <is>
          <t>M-LORE</t>
        </is>
      </c>
      <c r="B44" t="inlineStr">
        <is>
          <t>LoreForge</t>
        </is>
      </c>
      <c r="C44" t="inlineStr">
        <is>
          <t>Medium</t>
        </is>
      </c>
      <c r="D44" t="inlineStr">
        <is>
          <t>Medium</t>
        </is>
      </c>
      <c r="E44" t="inlineStr">
        <is>
          <t>High</t>
        </is>
      </c>
      <c r="F44" s="9" t="inlineStr">
        <is>
          <t>Viewers of long-form educational &amp; commentary content</t>
        </is>
      </c>
      <c r="G44" s="9" t="inlineStr">
        <is>
          <t>YouTube / streaming</t>
        </is>
      </c>
    </row>
    <row r="45">
      <c r="A45" t="inlineStr">
        <is>
          <t>M-EDU</t>
        </is>
      </c>
      <c r="B45" t="inlineStr">
        <is>
          <t>AtlasForge Academy</t>
        </is>
      </c>
      <c r="C45" t="inlineStr">
        <is>
          <t>Medium</t>
        </is>
      </c>
      <c r="D45" t="inlineStr">
        <is>
          <t>Medium</t>
        </is>
      </c>
      <c r="E45" t="inlineStr">
        <is>
          <t>High</t>
        </is>
      </c>
      <c r="F45" s="9" t="inlineStr">
        <is>
          <t>Viewers of long-form educational &amp; commentary content</t>
        </is>
      </c>
      <c r="G45" s="9" t="inlineStr">
        <is>
          <t>YouTube / streaming</t>
        </is>
      </c>
    </row>
    <row r="46">
      <c r="A46" t="inlineStr">
        <is>
          <t>S-MERCH-AUTO</t>
        </is>
      </c>
      <c r="B46" t="inlineStr">
        <is>
          <t>MerchForge Autopilot</t>
        </is>
      </c>
      <c r="C46" t="inlineStr">
        <is>
          <t>Medium</t>
        </is>
      </c>
      <c r="D46" t="inlineStr">
        <is>
          <t>High</t>
        </is>
      </c>
      <c r="E46" t="inlineStr">
        <is>
          <t>High</t>
        </is>
      </c>
      <c r="F46" s="9" t="inlineStr">
        <is>
          <t>Creators using Atlas Studio</t>
        </is>
      </c>
      <c r="G46" s="9" t="inlineStr">
        <is>
          <t>Web + desktop</t>
        </is>
      </c>
    </row>
    <row r="47">
      <c r="A47" t="inlineStr">
        <is>
          <t>S-DOCPIPE</t>
        </is>
      </c>
      <c r="B47" t="inlineStr">
        <is>
          <t>DocForge Pipeline</t>
        </is>
      </c>
      <c r="C47" t="inlineStr">
        <is>
          <t>Medium</t>
        </is>
      </c>
      <c r="D47" t="inlineStr">
        <is>
          <t>High</t>
        </is>
      </c>
      <c r="E47" t="inlineStr">
        <is>
          <t>High</t>
        </is>
      </c>
      <c r="F47" s="9" t="inlineStr">
        <is>
          <t>Creators using Atlas Studio</t>
        </is>
      </c>
      <c r="G47" s="9" t="inlineStr">
        <is>
          <t>Web + desktop</t>
        </is>
      </c>
    </row>
    <row r="48">
      <c r="A48" t="inlineStr">
        <is>
          <t>E-CHANNEL</t>
        </is>
      </c>
      <c r="B48" t="inlineStr">
        <is>
          <t>Channel Engine</t>
        </is>
      </c>
      <c r="C48" t="inlineStr">
        <is>
          <t>Very High</t>
        </is>
      </c>
      <c r="D48" t="inlineStr">
        <is>
          <t>High</t>
        </is>
      </c>
      <c r="E48" t="inlineStr">
        <is>
          <t>Niche</t>
        </is>
      </c>
      <c r="F48" s="9" t="inlineStr">
        <is>
          <t>Internal devs / advanced partners</t>
        </is>
      </c>
      <c r="G48" s="9" t="inlineStr">
        <is>
          <t>Web + desktop</t>
        </is>
      </c>
    </row>
    <row r="49">
      <c r="A49" t="inlineStr">
        <is>
          <t>E-GAMEGEN</t>
        </is>
      </c>
      <c r="B49" t="inlineStr">
        <is>
          <t>Hypercasual Design Forge</t>
        </is>
      </c>
      <c r="C49" t="inlineStr">
        <is>
          <t>Very High</t>
        </is>
      </c>
      <c r="D49" t="inlineStr">
        <is>
          <t>High</t>
        </is>
      </c>
      <c r="E49" t="inlineStr">
        <is>
          <t>Niche</t>
        </is>
      </c>
      <c r="F49" s="9" t="inlineStr">
        <is>
          <t>Internal devs / advanced partners</t>
        </is>
      </c>
      <c r="G49" s="9" t="inlineStr">
        <is>
          <t>Web + desktop</t>
        </is>
      </c>
    </row>
    <row r="50">
      <c r="A50" t="inlineStr">
        <is>
          <t>R-AUTOCHANNEL</t>
        </is>
      </c>
      <c r="B50" t="inlineStr">
        <is>
          <t>Autonomous Channel Lab</t>
        </is>
      </c>
      <c r="C50" t="inlineStr">
        <is>
          <t>Very High</t>
        </is>
      </c>
      <c r="D50" t="inlineStr">
        <is>
          <t>High</t>
        </is>
      </c>
      <c r="E50" t="inlineStr">
        <is>
          <t>Niche</t>
        </is>
      </c>
      <c r="F50" s="9" t="inlineStr">
        <is>
          <t>Internal devs / advanced partners</t>
        </is>
      </c>
      <c r="G50" s="9" t="inlineStr">
        <is>
          <t>Web + desktop</t>
        </is>
      </c>
    </row>
    <row r="51">
      <c r="A51" t="inlineStr">
        <is>
          <t>R-DOCGEN</t>
        </is>
      </c>
      <c r="B51" t="inlineStr">
        <is>
          <t>Narrative Blueprint Lab</t>
        </is>
      </c>
      <c r="C51" t="inlineStr">
        <is>
          <t>Very High</t>
        </is>
      </c>
      <c r="D51" t="inlineStr">
        <is>
          <t>High</t>
        </is>
      </c>
      <c r="E51" t="inlineStr">
        <is>
          <t>Niche</t>
        </is>
      </c>
      <c r="F51" s="9" t="inlineStr">
        <is>
          <t>Internal devs / advanced partners</t>
        </is>
      </c>
      <c r="G51" s="9" t="inlineStr">
        <is>
          <t>Web + desktop</t>
        </is>
      </c>
    </row>
  </sheetData>
  <dataValidations count="9">
    <dataValidation sqref="C2:C10" showErrorMessage="1" showInputMessage="1" allowBlank="1" type="list">
      <formula1>=Difficulty_Band_List</formula1>
    </dataValidation>
    <dataValidation sqref="D2:D10" showErrorMessage="1" showInputMessage="1" allowBlank="1" type="list">
      <formula1>=Revenue_Band_List</formula1>
    </dataValidation>
    <dataValidation sqref="E2:E10" showErrorMessage="1" showInputMessage="1" allowBlank="1" type="list">
      <formula1>=Public_Viability_List</formula1>
    </dataValidation>
    <dataValidation sqref="C2:C5" showErrorMessage="1" showInputMessage="1" allowBlank="1" type="list">
      <formula1>=Difficulty_Band_List</formula1>
    </dataValidation>
    <dataValidation sqref="D2:D5" showErrorMessage="1" showInputMessage="1" allowBlank="1" type="list">
      <formula1>=Revenue_Band_List</formula1>
    </dataValidation>
    <dataValidation sqref="E2:E5" showErrorMessage="1" showInputMessage="1" allowBlank="1" type="list">
      <formula1>=Public_Viability_List</formula1>
    </dataValidation>
    <dataValidation sqref="C2:C51" showErrorMessage="1" showInputMessage="1" allowBlank="1" type="list">
      <formula1>=Lists!$F$2:$F$6</formula1>
    </dataValidation>
    <dataValidation sqref="D2:D51" showErrorMessage="1" showInputMessage="1" allowBlank="1" type="list">
      <formula1>=Lists!$G$2:$G$5</formula1>
    </dataValidation>
    <dataValidation sqref="E2:E51" showErrorMessage="1" showInputMessage="1" allowBlank="1" type="list">
      <formula1>=Lists!$G$8:$G$11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92D050"/>
    <outlinePr summaryBelow="1" summaryRight="1"/>
    <pageSetUpPr/>
  </sheetPr>
  <dimension ref="A1:J36"/>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15" customWidth="1" min="1" max="1"/>
    <col width="28" customWidth="1" min="2" max="2"/>
    <col width="24" customWidth="1" min="3" max="3"/>
    <col width="14" customWidth="1" min="4" max="4"/>
    <col width="32" customWidth="1" min="5" max="5"/>
    <col width="15" customWidth="1" min="6" max="6"/>
    <col width="14" customWidth="1" min="7" max="7"/>
    <col width="35" customWidth="1" min="8" max="8"/>
    <col width="24" customWidth="1" min="9" max="9"/>
    <col width="45" customWidth="1" min="10" max="10"/>
  </cols>
  <sheetData>
    <row r="1" ht="24" customHeight="1">
      <c r="A1" s="8" t="inlineStr">
        <is>
          <t>ID</t>
        </is>
      </c>
      <c r="B1" s="8" t="inlineStr">
        <is>
          <t>Name</t>
        </is>
      </c>
      <c r="C1" s="8" t="inlineStr">
        <is>
          <t>Brand</t>
        </is>
      </c>
      <c r="D1" s="8" t="inlineStr">
        <is>
          <t>Category</t>
        </is>
      </c>
      <c r="E1" s="8" t="inlineStr">
        <is>
          <t>Rec_Decision</t>
        </is>
      </c>
      <c r="F1" s="8" t="inlineStr">
        <is>
          <t>Your_Decision</t>
        </is>
      </c>
      <c r="G1" s="8" t="inlineStr">
        <is>
          <t>Reason_Note</t>
        </is>
      </c>
      <c r="H1" s="8" t="inlineStr">
        <is>
          <t>Phase_Assigned</t>
        </is>
      </c>
      <c r="I1" s="8" t="inlineStr">
        <is>
          <t>Include_in_Public_Site</t>
        </is>
      </c>
      <c r="J1" s="8" t="inlineStr">
        <is>
          <t>Priority_Score</t>
        </is>
      </c>
    </row>
    <row r="2">
      <c r="A2" t="inlineStr">
        <is>
          <t>G-OIA</t>
        </is>
      </c>
      <c r="B2" t="inlineStr">
        <is>
          <t>Octopus in Action</t>
        </is>
      </c>
      <c r="C2" t="inlineStr">
        <is>
          <t>AtlasForge Games</t>
        </is>
      </c>
      <c r="D2" t="inlineStr">
        <is>
          <t>Game</t>
        </is>
      </c>
      <c r="E2" t="inlineStr">
        <is>
          <t>A — Approve as Primary Canon</t>
        </is>
      </c>
      <c r="H2" t="inlineStr">
        <is>
          <t>Phase 2 — OIA + Media Launch</t>
        </is>
      </c>
      <c r="I2">
        <f>IF(F2="A — Approve as Primary Canon",5,IF(F2="B — Approve as Secondary Canon",4,IF(F2="C — Approve as Stretch Goal",3,IF(F2="D — Defer",2,IF(F2="E — Deny",1,0)))))</f>
        <v/>
      </c>
      <c r="J2">
        <f>IF(F2="A — Approve as Primary Canon",5,
 IF(F2="B — Approve as Secondary Canon",4,
 IF(F2="C — Approve as Stretch Goal",3,
 IF(F2="D — Defer",2,
 IF(F2="E — Deny",1,0)))))</f>
        <v/>
      </c>
    </row>
    <row r="3">
      <c r="A3" t="inlineStr">
        <is>
          <t>G-NW</t>
        </is>
      </c>
      <c r="B3" t="inlineStr">
        <is>
          <t>Neighborhood Watch</t>
        </is>
      </c>
      <c r="C3" t="inlineStr">
        <is>
          <t>AtlasForge Games</t>
        </is>
      </c>
      <c r="D3" t="inlineStr">
        <is>
          <t>Game</t>
        </is>
      </c>
      <c r="E3" t="inlineStr">
        <is>
          <t>A — Approve as Primary Canon</t>
        </is>
      </c>
      <c r="H3" t="inlineStr">
        <is>
          <t>Phase 3 — NW + Merch + VoiceForge</t>
        </is>
      </c>
      <c r="I3">
        <f>IF(F3="A — Approve as Primary Canon",5,IF(F3="B — Approve as Secondary Canon",4,IF(F3="C — Approve as Stretch Goal",3,IF(F3="D — Defer",2,IF(F3="E — Deny",1,0)))))</f>
        <v/>
      </c>
      <c r="J3">
        <f>IF(F3="A — Approve as Primary Canon",5,
 IF(F3="B — Approve as Secondary Canon",4,
 IF(F3="C — Approve as Stretch Goal",3,
 IF(F3="D — Defer",2,
 IF(F3="E — Deny",1,0)))))</f>
        <v/>
      </c>
    </row>
    <row r="4">
      <c r="A4" t="inlineStr">
        <is>
          <t>M-FILM</t>
        </is>
      </c>
      <c r="B4" t="inlineStr">
        <is>
          <t>FilmForge</t>
        </is>
      </c>
      <c r="C4" t="inlineStr">
        <is>
          <t>AtlasForge Media</t>
        </is>
      </c>
      <c r="D4" t="inlineStr">
        <is>
          <t>Media</t>
        </is>
      </c>
      <c r="E4" t="inlineStr">
        <is>
          <t>A — Approve as Primary Canon</t>
        </is>
      </c>
      <c r="H4" t="inlineStr">
        <is>
          <t>Phase 2 — OIA + Media Launch</t>
        </is>
      </c>
      <c r="I4">
        <f>IF(F4="A — Approve as Primary Canon",5,IF(F4="B — Approve as Secondary Canon",4,IF(F4="C — Approve as Stretch Goal",3,IF(F4="D — Defer",2,IF(F4="E — Deny",1,0)))))</f>
        <v/>
      </c>
      <c r="J4">
        <f>IF(F4="A — Approve as Primary Canon",5,
 IF(F4="B — Approve as Secondary Canon",4,
 IF(F4="C — Approve as Stretch Goal",3,
 IF(F4="D — Defer",2,
 IF(F4="E — Deny",1,0)))))</f>
        <v/>
      </c>
    </row>
    <row r="5">
      <c r="A5" t="inlineStr">
        <is>
          <t>T-STUDIOPOC</t>
        </is>
      </c>
      <c r="B5" t="inlineStr">
        <is>
          <t>Atlas Studio POC</t>
        </is>
      </c>
      <c r="C5" t="inlineStr">
        <is>
          <t>AtlasForge Studio</t>
        </is>
      </c>
      <c r="D5" t="inlineStr">
        <is>
          <t>Studio Tool</t>
        </is>
      </c>
      <c r="E5" t="inlineStr">
        <is>
          <t>A — Approve as Primary Canon</t>
        </is>
      </c>
      <c r="H5" t="inlineStr">
        <is>
          <t>Phase 1 — Website + POC + Lite</t>
        </is>
      </c>
      <c r="I5">
        <f>IF(F5="A — Approve as Primary Canon",5,IF(F5="B — Approve as Secondary Canon",4,IF(F5="C — Approve as Stretch Goal",3,IF(F5="D — Defer",2,IF(F5="E — Deny",1,0)))))</f>
        <v/>
      </c>
      <c r="J5">
        <f>IF(F5="A — Approve as Primary Canon",5,
 IF(F5="B — Approve as Secondary Canon",4,
 IF(F5="C — Approve as Stretch Goal",3,
 IF(F5="D — Defer",2,
 IF(F5="E — Deny",1,0)))))</f>
        <v/>
      </c>
    </row>
    <row r="6">
      <c r="A6" t="inlineStr">
        <is>
          <t>G-DD</t>
        </is>
      </c>
      <c r="B6" t="inlineStr">
        <is>
          <t>D/D</t>
        </is>
      </c>
      <c r="C6" t="inlineStr">
        <is>
          <t>AtlasForge Games</t>
        </is>
      </c>
      <c r="D6" t="inlineStr">
        <is>
          <t>Game</t>
        </is>
      </c>
      <c r="E6" t="inlineStr">
        <is>
          <t>B — Approve as Secondary Canon</t>
        </is>
      </c>
      <c r="H6" t="inlineStr">
        <is>
          <t>Phase 4 — Hypercasual Pipeline</t>
        </is>
      </c>
      <c r="I6">
        <f>IF(F6="A — Approve as Primary Canon",5,IF(F6="B — Approve as Secondary Canon",4,IF(F6="C — Approve as Stretch Goal",3,IF(F6="D — Defer",2,IF(F6="E — Deny",1,0)))))</f>
        <v/>
      </c>
      <c r="J6">
        <f>IF(F6="A — Approve as Primary Canon",5,
 IF(F6="B — Approve as Secondary Canon",4,
 IF(F6="C — Approve as Stretch Goal",3,
 IF(F6="D — Defer",2,
 IF(F6="E — Deny",1,0)))))</f>
        <v/>
      </c>
    </row>
    <row r="7">
      <c r="A7" t="inlineStr">
        <is>
          <t>G-CONQ</t>
        </is>
      </c>
      <c r="B7" t="inlineStr">
        <is>
          <t>Conquest</t>
        </is>
      </c>
      <c r="C7" t="inlineStr">
        <is>
          <t>AtlasForge Games</t>
        </is>
      </c>
      <c r="D7" t="inlineStr">
        <is>
          <t>Game</t>
        </is>
      </c>
      <c r="E7" t="inlineStr">
        <is>
          <t>B — Approve as Secondary Canon</t>
        </is>
      </c>
      <c r="H7" t="inlineStr">
        <is>
          <t>Phase 4 — Hypercasual Pipeline</t>
        </is>
      </c>
      <c r="I7">
        <f>IF(F7="A — Approve as Primary Canon",5,IF(F7="B — Approve as Secondary Canon",4,IF(F7="C — Approve as Stretch Goal",3,IF(F7="D — Defer",2,IF(F7="E — Deny",1,0)))))</f>
        <v/>
      </c>
      <c r="J7">
        <f>IF(F7="A — Approve as Primary Canon",5,
 IF(F7="B — Approve as Secondary Canon",4,
 IF(F7="C — Approve as Stretch Goal",3,
 IF(F7="D — Defer",2,
 IF(F7="E — Deny",1,0)))))</f>
        <v/>
      </c>
    </row>
    <row r="8">
      <c r="A8" t="inlineStr">
        <is>
          <t>G-FEUD</t>
        </is>
      </c>
      <c r="B8" t="inlineStr">
        <is>
          <t>Feud</t>
        </is>
      </c>
      <c r="C8" t="inlineStr">
        <is>
          <t>AtlasForge Games</t>
        </is>
      </c>
      <c r="D8" t="inlineStr">
        <is>
          <t>Game</t>
        </is>
      </c>
      <c r="E8" t="inlineStr">
        <is>
          <t>B — Approve as Secondary Canon</t>
        </is>
      </c>
      <c r="H8" t="inlineStr">
        <is>
          <t>Phase 4 — Hypercasual Pipeline</t>
        </is>
      </c>
      <c r="I8">
        <f>IF(F8="A — Approve as Primary Canon",5,IF(F8="B — Approve as Secondary Canon",4,IF(F8="C — Approve as Stretch Goal",3,IF(F8="D — Defer",2,IF(F8="E — Deny",1,0)))))</f>
        <v/>
      </c>
      <c r="J8">
        <f>IF(F8="A — Approve as Primary Canon",5,
 IF(F8="B — Approve as Secondary Canon",4,
 IF(F8="C — Approve as Stretch Goal",3,
 IF(F8="D — Defer",2,
 IF(F8="E — Deny",1,0)))))</f>
        <v/>
      </c>
    </row>
    <row r="9">
      <c r="A9" t="inlineStr">
        <is>
          <t>G-RUN</t>
        </is>
      </c>
      <c r="B9" t="inlineStr">
        <is>
          <t>Runners</t>
        </is>
      </c>
      <c r="C9" t="inlineStr">
        <is>
          <t>AtlasForge Games</t>
        </is>
      </c>
      <c r="D9" t="inlineStr">
        <is>
          <t>Game</t>
        </is>
      </c>
      <c r="E9" t="inlineStr">
        <is>
          <t>C — Approve as Stretch Goal</t>
        </is>
      </c>
      <c r="H9" t="inlineStr">
        <is>
          <t>Phase 4 — Hypercasual Pipeline</t>
        </is>
      </c>
      <c r="I9">
        <f>IF(F9="A — Approve as Primary Canon",5,IF(F9="B — Approve as Secondary Canon",4,IF(F9="C — Approve as Stretch Goal",3,IF(F9="D — Defer",2,IF(F9="E — Deny",1,0)))))</f>
        <v/>
      </c>
      <c r="J9">
        <f>IF(F9="A — Approve as Primary Canon",5,
 IF(F9="B — Approve as Secondary Canon",4,
 IF(F9="C — Approve as Stretch Goal",3,
 IF(F9="D — Defer",2,
 IF(F9="E — Deny",1,0)))))</f>
        <v/>
      </c>
    </row>
    <row r="10">
      <c r="A10" t="inlineStr">
        <is>
          <t>G-AAB</t>
        </is>
      </c>
      <c r="B10" t="inlineStr">
        <is>
          <t>All A Board</t>
        </is>
      </c>
      <c r="C10" t="inlineStr">
        <is>
          <t>AtlasForge Games</t>
        </is>
      </c>
      <c r="D10" t="inlineStr">
        <is>
          <t>Game</t>
        </is>
      </c>
      <c r="E10" t="inlineStr">
        <is>
          <t>C — Approve as Stretch Goal</t>
        </is>
      </c>
      <c r="H10" t="inlineStr">
        <is>
          <t>Phase 4 — Hypercasual Pipeline</t>
        </is>
      </c>
      <c r="I10">
        <f>IF(F10="A — Approve as Primary Canon",5,IF(F10="B — Approve as Secondary Canon",4,IF(F10="C — Approve as Stretch Goal",3,IF(F10="D — Defer",2,IF(F10="E — Deny",1,0)))))</f>
        <v/>
      </c>
      <c r="J10">
        <f>IF(F10="A — Approve as Primary Canon",5,
 IF(F10="B — Approve as Secondary Canon",4,
 IF(F10="C — Approve as Stretch Goal",3,
 IF(F10="D — Defer",2,
 IF(F10="E — Deny",1,0)))))</f>
        <v/>
      </c>
    </row>
    <row r="11">
      <c r="A11" t="inlineStr">
        <is>
          <t>G-LBTW</t>
        </is>
      </c>
      <c r="B11" t="inlineStr">
        <is>
          <t>Let’s Build the World</t>
        </is>
      </c>
      <c r="C11" t="inlineStr">
        <is>
          <t>AtlasForge Games</t>
        </is>
      </c>
      <c r="D11" t="inlineStr">
        <is>
          <t>Game</t>
        </is>
      </c>
      <c r="E11" t="inlineStr">
        <is>
          <t>A — Approve as Primary Canon</t>
        </is>
      </c>
      <c r="H11" t="inlineStr">
        <is>
          <t>Phase 5 — Engine Deepening</t>
        </is>
      </c>
      <c r="I11">
        <f>IF(F11="A — Approve as Primary Canon",5,IF(F11="B — Approve as Secondary Canon",4,IF(F11="C — Approve as Stretch Goal",3,IF(F11="D — Defer",2,IF(F11="E — Deny",1,0)))))</f>
        <v/>
      </c>
      <c r="J11">
        <f>IF(F11="A — Approve as Primary Canon",5,
 IF(F11="B — Approve as Secondary Canon",4,
 IF(F11="C — Approve as Stretch Goal",3,
 IF(F11="D — Defer",2,
 IF(F11="E — Deny",1,0)))))</f>
        <v/>
      </c>
    </row>
    <row r="12">
      <c r="A12" t="inlineStr">
        <is>
          <t>G-AUTO</t>
        </is>
      </c>
      <c r="B12" t="inlineStr">
        <is>
          <t>Relayworks</t>
        </is>
      </c>
      <c r="C12" t="inlineStr">
        <is>
          <t>AtlasForge Games</t>
        </is>
      </c>
      <c r="D12" t="inlineStr">
        <is>
          <t>Game</t>
        </is>
      </c>
      <c r="E12" t="inlineStr">
        <is>
          <t>B — Approve as Secondary Canon</t>
        </is>
      </c>
      <c r="H12" t="inlineStr">
        <is>
          <t>Phase 4 — Hypercasual Pipeline</t>
        </is>
      </c>
      <c r="I12">
        <f>IF(F12="A — Approve as Primary Canon",5,IF(F12="B — Approve as Secondary Canon",4,IF(F12="C — Approve as Stretch Goal",3,IF(F12="D — Defer",2,IF(F12="E — Deny",1,0)))))</f>
        <v/>
      </c>
      <c r="J12">
        <f>IF(F12="A — Approve as Primary Canon",5,
 IF(F12="B — Approve as Secondary Canon",4,
 IF(F12="C — Approve as Stretch Goal",3,
 IF(F12="D — Defer",2,
 IF(F12="E — Deny",1,0)))))</f>
        <v/>
      </c>
    </row>
    <row r="13">
      <c r="A13" t="inlineStr">
        <is>
          <t>M-COM</t>
        </is>
      </c>
      <c r="B13" t="inlineStr">
        <is>
          <t>ComedyForge</t>
        </is>
      </c>
      <c r="C13" t="inlineStr">
        <is>
          <t>AtlasForge Media</t>
        </is>
      </c>
      <c r="D13" t="inlineStr">
        <is>
          <t>Media</t>
        </is>
      </c>
      <c r="E13" t="inlineStr">
        <is>
          <t>B — Approve as Secondary Canon</t>
        </is>
      </c>
      <c r="H13" t="inlineStr">
        <is>
          <t>Phase 4 — Hypercasual Pipeline</t>
        </is>
      </c>
      <c r="I13">
        <f>IF(F13="A — Approve as Primary Canon",5,IF(F13="B — Approve as Secondary Canon",4,IF(F13="C — Approve as Stretch Goal",3,IF(F13="D — Defer",2,IF(F13="E — Deny",1,0)))))</f>
        <v/>
      </c>
      <c r="J13">
        <f>IF(F13="A — Approve as Primary Canon",5,
 IF(F13="B — Approve as Secondary Canon",4,
 IF(F13="C — Approve as Stretch Goal",3,
 IF(F13="D — Defer",2,
 IF(F13="E — Deny",1,0)))))</f>
        <v/>
      </c>
    </row>
    <row r="14">
      <c r="A14" t="inlineStr">
        <is>
          <t>M-STORY</t>
        </is>
      </c>
      <c r="B14" t="inlineStr">
        <is>
          <t>StoryForge</t>
        </is>
      </c>
      <c r="C14" t="inlineStr">
        <is>
          <t>AtlasForge Media</t>
        </is>
      </c>
      <c r="D14" t="inlineStr">
        <is>
          <t>Media</t>
        </is>
      </c>
      <c r="E14" t="inlineStr">
        <is>
          <t>A — Approve as Primary Canon</t>
        </is>
      </c>
      <c r="H14" t="inlineStr">
        <is>
          <t>Phase 4 — Hypercasual Pipeline</t>
        </is>
      </c>
      <c r="I14">
        <f>IF(F14="A — Approve as Primary Canon",5,IF(F14="B — Approve as Secondary Canon",4,IF(F14="C — Approve as Stretch Goal",3,IF(F14="D — Defer",2,IF(F14="E — Deny",1,0)))))</f>
        <v/>
      </c>
      <c r="J14">
        <f>IF(F14="A — Approve as Primary Canon",5,
 IF(F14="B — Approve as Secondary Canon",4,
 IF(F14="C — Approve as Stretch Goal",3,
 IF(F14="D — Defer",2,
 IF(F14="E — Deny",1,0)))))</f>
        <v/>
      </c>
    </row>
    <row r="15">
      <c r="A15" t="inlineStr">
        <is>
          <t>M-SHORT</t>
        </is>
      </c>
      <c r="B15" t="inlineStr">
        <is>
          <t>AtlasForge Shorts</t>
        </is>
      </c>
      <c r="C15" t="inlineStr">
        <is>
          <t>AtlasForge Media</t>
        </is>
      </c>
      <c r="D15" t="inlineStr">
        <is>
          <t>Media</t>
        </is>
      </c>
      <c r="E15" t="inlineStr">
        <is>
          <t>B — Approve as Secondary Canon</t>
        </is>
      </c>
      <c r="H15" t="inlineStr">
        <is>
          <t>Phase 4 — Hypercasual Pipeline</t>
        </is>
      </c>
      <c r="I15">
        <f>IF(F15="A — Approve as Primary Canon",5,IF(F15="B — Approve as Secondary Canon",4,IF(F15="C — Approve as Stretch Goal",3,IF(F15="D — Defer",2,IF(F15="E — Deny",1,0)))))</f>
        <v/>
      </c>
      <c r="J15">
        <f>IF(F15="A — Approve as Primary Canon",5,
 IF(F15="B — Approve as Secondary Canon",4,
 IF(F15="C — Approve as Stretch Goal",3,
 IF(F15="D — Defer",2,
 IF(F15="E — Deny",1,0)))))</f>
        <v/>
      </c>
    </row>
    <row r="16">
      <c r="A16" t="inlineStr">
        <is>
          <t>T-VOICE</t>
        </is>
      </c>
      <c r="B16" t="inlineStr">
        <is>
          <t>VoiceForge</t>
        </is>
      </c>
      <c r="C16" t="inlineStr">
        <is>
          <t>AtlasForge Studio</t>
        </is>
      </c>
      <c r="D16" t="inlineStr">
        <is>
          <t>Studio Tool</t>
        </is>
      </c>
      <c r="E16" t="inlineStr">
        <is>
          <t>B — Approve as Secondary Canon</t>
        </is>
      </c>
      <c r="H16" t="inlineStr">
        <is>
          <t>Phase 6 — Full Studio Product</t>
        </is>
      </c>
      <c r="I16">
        <f>IF(F16="A — Approve as Primary Canon",5,IF(F16="B — Approve as Secondary Canon",4,IF(F16="C — Approve as Stretch Goal",3,IF(F16="D — Defer",2,IF(F16="E — Deny",1,0)))))</f>
        <v/>
      </c>
      <c r="J16">
        <f>IF(F16="A — Approve as Primary Canon",5,
 IF(F16="B — Approve as Secondary Canon",4,
 IF(F16="C — Approve as Stretch Goal",3,
 IF(F16="D — Defer",2,
 IF(F16="E — Deny",1,0)))))</f>
        <v/>
      </c>
    </row>
    <row r="17">
      <c r="A17" t="inlineStr">
        <is>
          <t>T-HYPER</t>
        </is>
      </c>
      <c r="B17" t="inlineStr">
        <is>
          <t>Hypercasual Forge</t>
        </is>
      </c>
      <c r="C17" t="inlineStr">
        <is>
          <t>AtlasForge Studio</t>
        </is>
      </c>
      <c r="D17" t="inlineStr">
        <is>
          <t>Studio Tool</t>
        </is>
      </c>
      <c r="E17" t="inlineStr">
        <is>
          <t>C — Approve as Stretch Goal</t>
        </is>
      </c>
      <c r="H17" t="inlineStr">
        <is>
          <t>Phase 6 — Full Studio Product</t>
        </is>
      </c>
      <c r="I17">
        <f>IF(F17="A — Approve as Primary Canon",5,IF(F17="B — Approve as Secondary Canon",4,IF(F17="C — Approve as Stretch Goal",3,IF(F17="D — Defer",2,IF(F17="E — Deny",1,0)))))</f>
        <v/>
      </c>
      <c r="J17">
        <f>IF(F17="A — Approve as Primary Canon",5,
 IF(F17="B — Approve as Secondary Canon",4,
 IF(F17="C — Approve as Stretch Goal",3,
 IF(F17="D — Defer",2,
 IF(F17="E — Deny",1,0)))))</f>
        <v/>
      </c>
    </row>
    <row r="18">
      <c r="A18" t="inlineStr">
        <is>
          <t>T-MUSIC</t>
        </is>
      </c>
      <c r="B18" t="inlineStr">
        <is>
          <t>SKB Audio Lab</t>
        </is>
      </c>
      <c r="C18" t="inlineStr">
        <is>
          <t>AtlasForge Studio</t>
        </is>
      </c>
      <c r="D18" t="inlineStr">
        <is>
          <t>Studio Tool</t>
        </is>
      </c>
      <c r="E18" t="inlineStr">
        <is>
          <t>B — Approve as Secondary Canon</t>
        </is>
      </c>
      <c r="H18" t="inlineStr">
        <is>
          <t>Phase 6 — Full Studio Product</t>
        </is>
      </c>
      <c r="I18">
        <f>IF(F18="A — Approve as Primary Canon",5,IF(F18="B — Approve as Secondary Canon",4,IF(F18="C — Approve as Stretch Goal",3,IF(F18="D — Defer",2,IF(F18="E — Deny",1,0)))))</f>
        <v/>
      </c>
      <c r="J18">
        <f>IF(F18="A — Approve as Primary Canon",5,
 IF(F18="B — Approve as Secondary Canon",4,
 IF(F18="C — Approve as Stretch Goal",3,
 IF(F18="D — Defer",2,
 IF(F18="E — Deny",1,0)))))</f>
        <v/>
      </c>
    </row>
    <row r="19">
      <c r="A19" t="inlineStr">
        <is>
          <t>T-MEDIA</t>
        </is>
      </c>
      <c r="B19" t="inlineStr">
        <is>
          <t>MediaForge Studio</t>
        </is>
      </c>
      <c r="C19" t="inlineStr">
        <is>
          <t>AtlasForge Studio</t>
        </is>
      </c>
      <c r="D19" t="inlineStr">
        <is>
          <t>Studio Tool</t>
        </is>
      </c>
      <c r="E19" t="inlineStr">
        <is>
          <t>B — Approve as Secondary Canon</t>
        </is>
      </c>
      <c r="H19" t="inlineStr">
        <is>
          <t>Phase 6 — Full Studio Product</t>
        </is>
      </c>
      <c r="I19">
        <f>IF(F19="A — Approve as Primary Canon",5,IF(F19="B — Approve as Secondary Canon",4,IF(F19="C — Approve as Stretch Goal",3,IF(F19="D — Defer",2,IF(F19="E — Deny",1,0)))))</f>
        <v/>
      </c>
      <c r="J19">
        <f>IF(F19="A — Approve as Primary Canon",5,
 IF(F19="B — Approve as Secondary Canon",4,
 IF(F19="C — Approve as Stretch Goal",3,
 IF(F19="D — Defer",2,
 IF(F19="E — Deny",1,0)))))</f>
        <v/>
      </c>
    </row>
    <row r="20">
      <c r="A20" t="inlineStr">
        <is>
          <t>E-AE2</t>
        </is>
      </c>
      <c r="B20" t="inlineStr">
        <is>
          <t>Atlas Engine v2 Lab</t>
        </is>
      </c>
      <c r="C20" t="inlineStr">
        <is>
          <t>Atlas Engine &amp; Atlas-V</t>
        </is>
      </c>
      <c r="D20" t="inlineStr">
        <is>
          <t>Engine / R&amp;D</t>
        </is>
      </c>
      <c r="E20" t="inlineStr">
        <is>
          <t>D — Defer</t>
        </is>
      </c>
      <c r="H20" t="inlineStr">
        <is>
          <t>Phase 7 — Autonomous Systems</t>
        </is>
      </c>
      <c r="I20">
        <f>IF(F20="A — Approve as Primary Canon",5,IF(F20="B — Approve as Secondary Canon",4,IF(F20="C — Approve as Stretch Goal",3,IF(F20="D — Defer",2,IF(F20="E — Deny",1,0)))))</f>
        <v/>
      </c>
      <c r="J20">
        <f>IF(F20="A — Approve as Primary Canon",5,
 IF(F20="B — Approve as Secondary Canon",4,
 IF(F20="C — Approve as Stretch Goal",3,
 IF(F20="D — Defer",2,
 IF(F20="E — Deny",1,0)))))</f>
        <v/>
      </c>
    </row>
    <row r="21">
      <c r="A21" t="inlineStr">
        <is>
          <t>E-AUTO-VIDEO</t>
        </is>
      </c>
      <c r="B21" t="inlineStr">
        <is>
          <t>Auto Documentary Pipeline</t>
        </is>
      </c>
      <c r="C21" t="inlineStr">
        <is>
          <t>Atlas Engine &amp; Atlas-V</t>
        </is>
      </c>
      <c r="D21" t="inlineStr">
        <is>
          <t>Engine / R&amp;D</t>
        </is>
      </c>
      <c r="E21" t="inlineStr">
        <is>
          <t>D — Defer</t>
        </is>
      </c>
      <c r="H21" t="inlineStr">
        <is>
          <t>Phase 7 — Autonomous Systems</t>
        </is>
      </c>
      <c r="I21">
        <f>IF(F21="A — Approve as Primary Canon",5,IF(F21="B — Approve as Secondary Canon",4,IF(F21="C — Approve as Stretch Goal",3,IF(F21="D — Defer",2,IF(F21="E — Deny",1,0)))))</f>
        <v/>
      </c>
      <c r="J21">
        <f>IF(F21="A — Approve as Primary Canon",5,
 IF(F21="B — Approve as Secondary Canon",4,
 IF(F21="C — Approve as Stretch Goal",3,
 IF(F21="D — Defer",2,
 IF(F21="E — Deny",1,0)))))</f>
        <v/>
      </c>
    </row>
    <row r="22">
      <c r="A22" t="inlineStr">
        <is>
          <t>E-WORLDSIM</t>
        </is>
      </c>
      <c r="B22" t="inlineStr">
        <is>
          <t>WorldSim Lab</t>
        </is>
      </c>
      <c r="C22" t="inlineStr">
        <is>
          <t>Atlas Engine &amp; Atlas-V</t>
        </is>
      </c>
      <c r="D22" t="inlineStr">
        <is>
          <t>Engine / R&amp;D</t>
        </is>
      </c>
      <c r="E22" t="inlineStr">
        <is>
          <t>D — Defer</t>
        </is>
      </c>
      <c r="H22" t="inlineStr">
        <is>
          <t>Phase 7 — Autonomous Systems</t>
        </is>
      </c>
      <c r="I22">
        <f>IF(F22="A — Approve as Primary Canon",5,IF(F22="B — Approve as Secondary Canon",4,IF(F22="C — Approve as Stretch Goal",3,IF(F22="D — Defer",2,IF(F22="E — Deny",1,0)))))</f>
        <v/>
      </c>
      <c r="J22">
        <f>IF(F22="A — Approve as Primary Canon",5,
 IF(F22="B — Approve as Secondary Canon",4,
 IF(F22="C — Approve as Stretch Goal",3,
 IF(F22="D — Defer",2,
 IF(F22="E — Deny",1,0)))))</f>
        <v/>
      </c>
    </row>
    <row r="23">
      <c r="A23" t="inlineStr">
        <is>
          <t>MC-CORE</t>
        </is>
      </c>
      <c r="B23" t="inlineStr">
        <is>
          <t>AtlasForge Core Merch</t>
        </is>
      </c>
      <c r="C23" t="inlineStr">
        <is>
          <t>AtlasForge Merch</t>
        </is>
      </c>
      <c r="D23" t="inlineStr">
        <is>
          <t>Merch</t>
        </is>
      </c>
      <c r="E23" t="inlineStr">
        <is>
          <t>B — Approve as Secondary Canon</t>
        </is>
      </c>
      <c r="H23" t="inlineStr">
        <is>
          <t>Phase 3 — NW + Merch + VoiceForge</t>
        </is>
      </c>
      <c r="I23">
        <f>IF(F23="A — Approve as Primary Canon",5,IF(F23="B — Approve as Secondary Canon",4,IF(F23="C — Approve as Stretch Goal",3,IF(F23="D — Defer",2,IF(F23="E — Deny",1,0)))))</f>
        <v/>
      </c>
      <c r="J23">
        <f>IF(F23="A — Approve as Primary Canon",5,
 IF(F23="B — Approve as Secondary Canon",4,
 IF(F23="C — Approve as Stretch Goal",3,
 IF(F23="D — Defer",2,
 IF(F23="E — Deny",1,0)))))</f>
        <v/>
      </c>
    </row>
    <row r="24">
      <c r="A24" t="inlineStr">
        <is>
          <t>MC-OIA</t>
        </is>
      </c>
      <c r="B24" t="inlineStr">
        <is>
          <t>OIA Merch Line</t>
        </is>
      </c>
      <c r="C24" t="inlineStr">
        <is>
          <t>AtlasForge Merch</t>
        </is>
      </c>
      <c r="D24" t="inlineStr">
        <is>
          <t>Merch</t>
        </is>
      </c>
      <c r="E24" t="inlineStr">
        <is>
          <t>B — Approve as Secondary Canon</t>
        </is>
      </c>
      <c r="H24" t="inlineStr">
        <is>
          <t>Phase 3 — NW + Merch + VoiceForge</t>
        </is>
      </c>
      <c r="I24">
        <f>IF(F24="A — Approve as Primary Canon",5,IF(F24="B — Approve as Secondary Canon",4,IF(F24="C — Approve as Stretch Goal",3,IF(F24="D — Defer",2,IF(F24="E — Deny",1,0)))))</f>
        <v/>
      </c>
      <c r="J24">
        <f>IF(F24="A — Approve as Primary Canon",5,
 IF(F24="B — Approve as Secondary Canon",4,
 IF(F24="C — Approve as Stretch Goal",3,
 IF(F24="D — Defer",2,
 IF(F24="E — Deny",1,0)))))</f>
        <v/>
      </c>
    </row>
    <row r="25">
      <c r="A25" t="inlineStr">
        <is>
          <t>MC-NW</t>
        </is>
      </c>
      <c r="B25" t="inlineStr">
        <is>
          <t>Neighborhood Watch Merch</t>
        </is>
      </c>
      <c r="C25" t="inlineStr">
        <is>
          <t>AtlasForge Merch</t>
        </is>
      </c>
      <c r="D25" t="inlineStr">
        <is>
          <t>Merch</t>
        </is>
      </c>
      <c r="E25" t="inlineStr">
        <is>
          <t>C — Approve as Stretch Goal</t>
        </is>
      </c>
      <c r="H25" t="inlineStr">
        <is>
          <t>Phase 3 — NW + Merch + VoiceForge</t>
        </is>
      </c>
      <c r="I25">
        <f>IF(F25="A — Approve as Primary Canon",5,IF(F25="B — Approve as Secondary Canon",4,IF(F25="C — Approve as Stretch Goal",3,IF(F25="D — Defer",2,IF(F25="E — Deny",1,0)))))</f>
        <v/>
      </c>
      <c r="J25">
        <f>IF(F25="A — Approve as Primary Canon",5,
 IF(F25="B — Approve as Secondary Canon",4,
 IF(F25="C — Approve as Stretch Goal",3,
 IF(F25="D — Defer",2,
 IF(F25="E — Deny",1,0)))))</f>
        <v/>
      </c>
    </row>
    <row r="26">
      <c r="A26" t="inlineStr">
        <is>
          <t>MC-ATLASV</t>
        </is>
      </c>
      <c r="B26" t="inlineStr">
        <is>
          <t>Atlas-V Signal Line</t>
        </is>
      </c>
      <c r="C26" t="inlineStr">
        <is>
          <t>AtlasForge Merch</t>
        </is>
      </c>
      <c r="D26" t="inlineStr">
        <is>
          <t>Merch</t>
        </is>
      </c>
      <c r="E26" t="inlineStr">
        <is>
          <t>C — Approve as Stretch Goal</t>
        </is>
      </c>
      <c r="H26" t="inlineStr">
        <is>
          <t>Phase 3 — NW + Merch + VoiceForge</t>
        </is>
      </c>
      <c r="I26">
        <f>IF(F26="A — Approve as Primary Canon",5,IF(F26="B — Approve as Secondary Canon",4,IF(F26="C — Approve as Stretch Goal",3,IF(F26="D — Defer",2,IF(F26="E — Deny",1,0)))))</f>
        <v/>
      </c>
      <c r="J26">
        <f>IF(F26="A — Approve as Primary Canon",5,
 IF(F26="B — Approve as Secondary Canon",4,
 IF(F26="C — Approve as Stretch Goal",3,
 IF(F26="D — Defer",2,
 IF(F26="E — Deny",1,0)))))</f>
        <v/>
      </c>
    </row>
    <row r="27">
      <c r="A27" t="inlineStr">
        <is>
          <t>M-FORGE</t>
        </is>
      </c>
      <c r="B27" t="inlineStr">
        <is>
          <t>FilmForge Documentary Line</t>
        </is>
      </c>
      <c r="C27" t="inlineStr">
        <is>
          <t>AtlasForge Media</t>
        </is>
      </c>
      <c r="D27" t="inlineStr">
        <is>
          <t>Media</t>
        </is>
      </c>
      <c r="E27" t="inlineStr">
        <is>
          <t>B — Approve as Secondary Canon</t>
        </is>
      </c>
      <c r="H27" t="inlineStr">
        <is>
          <t>Phase 2 — OIA + Media Launch</t>
        </is>
      </c>
      <c r="I27">
        <f>IF(F27="A — Approve as Primary Canon",5,IF(F27="B — Approve as Secondary Canon",4,IF(F27="C — Approve as Stretch Goal",3,IF(F27="D — Defer",2,IF(F27="E — Deny",1,0)))))</f>
        <v/>
      </c>
      <c r="J27">
        <f>IF(F27="A — Approve as Primary Canon",5,
 IF(F27="B — Approve as Secondary Canon",4,
 IF(F27="C — Approve as Stretch Goal",3,
 IF(F27="D — Defer",2,
 IF(F27="E — Deny",1,0)))))</f>
        <v/>
      </c>
    </row>
    <row r="28">
      <c r="A28" t="inlineStr">
        <is>
          <t>S-TOOL1</t>
        </is>
      </c>
      <c r="B28" t="inlineStr">
        <is>
          <t>Atlas Template Factory</t>
        </is>
      </c>
      <c r="C28" t="inlineStr">
        <is>
          <t>AtlasForge Studio</t>
        </is>
      </c>
      <c r="D28" t="inlineStr">
        <is>
          <t>Studio Tool</t>
        </is>
      </c>
      <c r="E28" t="inlineStr">
        <is>
          <t>B — Approve as Secondary Canon</t>
        </is>
      </c>
      <c r="H28" t="inlineStr">
        <is>
          <t>Phase 6 — Full Studio Product</t>
        </is>
      </c>
      <c r="I28">
        <f>IF(F28="A — Approve as Primary Canon",5,IF(F28="B — Approve as Secondary Canon",4,IF(F28="C — Approve as Stretch Goal",3,IF(F28="D — Defer",2,IF(F28="E — Deny",1,0)))))</f>
        <v/>
      </c>
      <c r="J28">
        <f>IF(F28="A — Approve as Primary Canon",5,
 IF(F28="B — Approve as Secondary Canon",4,
 IF(F28="C — Approve as Stretch Goal",3,
 IF(F28="D — Defer",2,
 IF(F28="E — Deny",1,0)))))</f>
        <v/>
      </c>
    </row>
    <row r="29">
      <c r="A29" t="inlineStr">
        <is>
          <t>M-LORE</t>
        </is>
      </c>
      <c r="B29" t="inlineStr">
        <is>
          <t>LoreForge</t>
        </is>
      </c>
      <c r="C29" t="inlineStr">
        <is>
          <t>AtlasForge Media</t>
        </is>
      </c>
      <c r="D29" t="inlineStr">
        <is>
          <t>Media</t>
        </is>
      </c>
      <c r="E29" t="inlineStr">
        <is>
          <t>B — Approve as Secondary Canon</t>
        </is>
      </c>
      <c r="H29" t="inlineStr">
        <is>
          <t>Phase 3 — NW + Merch + VoiceForge</t>
        </is>
      </c>
      <c r="I29">
        <f>IF(F29="A — Approve as Primary Canon",5,IF(F29="B — Approve as Secondary Canon",4,IF(F29="C — Approve as Stretch Goal",3,IF(F29="D — Defer",2,IF(F29="E — Deny",1,0)))))</f>
        <v/>
      </c>
      <c r="J29">
        <f>IF(F29="A — Approve as Primary Canon",5,
 IF(F29="B — Approve as Secondary Canon",4,
 IF(F29="C — Approve as Stretch Goal",3,
 IF(F29="D — Defer",2,
 IF(F29="E — Deny",1,0)))))</f>
        <v/>
      </c>
    </row>
    <row r="30">
      <c r="A30" t="inlineStr">
        <is>
          <t>M-EDU</t>
        </is>
      </c>
      <c r="B30" t="inlineStr">
        <is>
          <t>AtlasForge Academy</t>
        </is>
      </c>
      <c r="C30" t="inlineStr">
        <is>
          <t>AtlasForge Media</t>
        </is>
      </c>
      <c r="D30" t="inlineStr">
        <is>
          <t>Media</t>
        </is>
      </c>
      <c r="E30" t="inlineStr">
        <is>
          <t>B — Approve as Secondary Canon</t>
        </is>
      </c>
      <c r="H30" t="inlineStr">
        <is>
          <t>Phase 4 — Hypercasual Pipeline</t>
        </is>
      </c>
      <c r="I30">
        <f>IF(F30="A — Approve as Primary Canon",5,IF(F30="B — Approve as Secondary Canon",4,IF(F30="C — Approve as Stretch Goal",3,IF(F30="D — Defer",2,IF(F30="E — Deny",1,0)))))</f>
        <v/>
      </c>
      <c r="J30">
        <f>IF(F30="A — Approve as Primary Canon",5,
 IF(F30="B — Approve as Secondary Canon",4,
 IF(F30="C — Approve as Stretch Goal",3,
 IF(F30="D — Defer",2,
 IF(F30="E — Deny",1,0)))))</f>
        <v/>
      </c>
    </row>
    <row r="31">
      <c r="A31" t="inlineStr">
        <is>
          <t>S-MERCH-AUTO</t>
        </is>
      </c>
      <c r="B31" t="inlineStr">
        <is>
          <t>MerchForge Autopilot</t>
        </is>
      </c>
      <c r="C31" t="inlineStr">
        <is>
          <t>AtlasForge Studio</t>
        </is>
      </c>
      <c r="D31" t="inlineStr">
        <is>
          <t>Studio Tool</t>
        </is>
      </c>
      <c r="E31" t="inlineStr">
        <is>
          <t>C — Approve as Stretch Goal</t>
        </is>
      </c>
      <c r="H31" t="inlineStr">
        <is>
          <t>Phase 6 — Full Studio Product</t>
        </is>
      </c>
      <c r="I31">
        <f>IF(F31="A — Approve as Primary Canon",5,IF(F31="B — Approve as Secondary Canon",4,IF(F31="C — Approve as Stretch Goal",3,IF(F31="D — Defer",2,IF(F31="E — Deny",1,0)))))</f>
        <v/>
      </c>
      <c r="J31">
        <f>IF(F31="A — Approve as Primary Canon",5,
 IF(F31="B — Approve as Secondary Canon",4,
 IF(F31="C — Approve as Stretch Goal",3,
 IF(F31="D — Defer",2,
 IF(F31="E — Deny",1,0)))))</f>
        <v/>
      </c>
    </row>
    <row r="32">
      <c r="A32" t="inlineStr">
        <is>
          <t>S-DOCPIPE</t>
        </is>
      </c>
      <c r="B32" t="inlineStr">
        <is>
          <t>DocForge Pipeline</t>
        </is>
      </c>
      <c r="C32" t="inlineStr">
        <is>
          <t>AtlasForge Studio</t>
        </is>
      </c>
      <c r="D32" t="inlineStr">
        <is>
          <t>Studio Tool</t>
        </is>
      </c>
      <c r="E32" t="inlineStr">
        <is>
          <t>C — Approve as Stretch Goal</t>
        </is>
      </c>
      <c r="H32" t="inlineStr">
        <is>
          <t>Phase 6 — Full Studio Product</t>
        </is>
      </c>
      <c r="I32">
        <f>IF(F32="A — Approve as Primary Canon",5,IF(F32="B — Approve as Secondary Canon",4,IF(F32="C — Approve as Stretch Goal",3,IF(F32="D — Defer",2,IF(F32="E — Deny",1,0)))))</f>
        <v/>
      </c>
      <c r="J32">
        <f>IF(F32="A — Approve as Primary Canon",5,
 IF(F32="B — Approve as Secondary Canon",4,
 IF(F32="C — Approve as Stretch Goal",3,
 IF(F32="D — Defer",2,
 IF(F32="E — Deny",1,0)))))</f>
        <v/>
      </c>
    </row>
    <row r="33">
      <c r="A33" t="inlineStr">
        <is>
          <t>E-CHANNEL</t>
        </is>
      </c>
      <c r="B33" t="inlineStr">
        <is>
          <t>Channel Engine</t>
        </is>
      </c>
      <c r="C33" t="inlineStr">
        <is>
          <t>Atlas Engine &amp; Atlas-V</t>
        </is>
      </c>
      <c r="D33" t="inlineStr">
        <is>
          <t>Engine / R&amp;D</t>
        </is>
      </c>
      <c r="E33" t="inlineStr">
        <is>
          <t>D — Defer</t>
        </is>
      </c>
      <c r="H33" t="inlineStr">
        <is>
          <t>Phase 7 — Autonomous Systems</t>
        </is>
      </c>
      <c r="I33">
        <f>IF(F33="A — Approve as Primary Canon",5,IF(F33="B — Approve as Secondary Canon",4,IF(F33="C — Approve as Stretch Goal",3,IF(F33="D — Defer",2,IF(F33="E — Deny",1,0)))))</f>
        <v/>
      </c>
      <c r="J33">
        <f>IF(F33="A — Approve as Primary Canon",5,
 IF(F33="B — Approve as Secondary Canon",4,
 IF(F33="C — Approve as Stretch Goal",3,
 IF(F33="D — Defer",2,
 IF(F33="E — Deny",1,0)))))</f>
        <v/>
      </c>
    </row>
    <row r="34">
      <c r="A34" t="inlineStr">
        <is>
          <t>E-GAMEGEN</t>
        </is>
      </c>
      <c r="B34" t="inlineStr">
        <is>
          <t>Hypercasual Design Forge</t>
        </is>
      </c>
      <c r="C34" t="inlineStr">
        <is>
          <t>Atlas Engine &amp; Atlas-V</t>
        </is>
      </c>
      <c r="D34" t="inlineStr">
        <is>
          <t>Engine / R&amp;D</t>
        </is>
      </c>
      <c r="E34" t="inlineStr">
        <is>
          <t>D — Defer</t>
        </is>
      </c>
      <c r="H34" t="inlineStr">
        <is>
          <t>Phase 7 — Autonomous Systems</t>
        </is>
      </c>
      <c r="I34">
        <f>IF(F34="A — Approve as Primary Canon",5,IF(F34="B — Approve as Secondary Canon",4,IF(F34="C — Approve as Stretch Goal",3,IF(F34="D — Defer",2,IF(F34="E — Deny",1,0)))))</f>
        <v/>
      </c>
      <c r="J34">
        <f>IF(F34="A — Approve as Primary Canon",5,
 IF(F34="B — Approve as Secondary Canon",4,
 IF(F34="C — Approve as Stretch Goal",3,
 IF(F34="D — Defer",2,
 IF(F34="E — Deny",1,0)))))</f>
        <v/>
      </c>
    </row>
    <row r="35">
      <c r="A35" t="inlineStr">
        <is>
          <t>R-AUTOCHANNEL</t>
        </is>
      </c>
      <c r="B35" t="inlineStr">
        <is>
          <t>Autonomous Channel Lab</t>
        </is>
      </c>
      <c r="C35" t="inlineStr">
        <is>
          <t>Atlas Engine &amp; Atlas-V</t>
        </is>
      </c>
      <c r="D35" t="inlineStr">
        <is>
          <t>Engine / R&amp;D</t>
        </is>
      </c>
      <c r="E35" t="inlineStr">
        <is>
          <t>D — Defer</t>
        </is>
      </c>
      <c r="H35" t="inlineStr">
        <is>
          <t>Phase 7 — Autonomous Systems</t>
        </is>
      </c>
      <c r="I35">
        <f>IF(F35="A — Approve as Primary Canon",5,IF(F35="B — Approve as Secondary Canon",4,IF(F35="C — Approve as Stretch Goal",3,IF(F35="D — Defer",2,IF(F35="E — Deny",1,0)))))</f>
        <v/>
      </c>
      <c r="J35">
        <f>IF(F35="A — Approve as Primary Canon",5,
 IF(F35="B — Approve as Secondary Canon",4,
 IF(F35="C — Approve as Stretch Goal",3,
 IF(F35="D — Defer",2,
 IF(F35="E — Deny",1,0)))))</f>
        <v/>
      </c>
    </row>
    <row r="36">
      <c r="A36" t="inlineStr">
        <is>
          <t>R-DOCGEN</t>
        </is>
      </c>
      <c r="B36" t="inlineStr">
        <is>
          <t>Narrative Blueprint Lab</t>
        </is>
      </c>
      <c r="C36" t="inlineStr">
        <is>
          <t>Atlas Engine &amp; Atlas-V</t>
        </is>
      </c>
      <c r="D36" t="inlineStr">
        <is>
          <t>Engine / R&amp;D</t>
        </is>
      </c>
      <c r="E36" t="inlineStr">
        <is>
          <t>D — Defer</t>
        </is>
      </c>
      <c r="H36" t="inlineStr">
        <is>
          <t>Phase 7 — Autonomous Systems</t>
        </is>
      </c>
      <c r="I36">
        <f>IF(F36="A — Approve as Primary Canon",5,IF(F36="B — Approve as Secondary Canon",4,IF(F36="C — Approve as Stretch Goal",3,IF(F36="D — Defer",2,IF(F36="E — Deny",1,0)))))</f>
        <v/>
      </c>
      <c r="J36">
        <f>IF(F36="A — Approve as Primary Canon",5,
 IF(F36="B — Approve as Secondary Canon",4,
 IF(F36="C — Approve as Stretch Goal",3,
 IF(F36="D — Defer",2,
 IF(F36="E — Deny",1,0)))))</f>
        <v/>
      </c>
    </row>
  </sheetData>
  <conditionalFormatting sqref="F2:F500">
    <cfRule type="expression" priority="1" dxfId="0">
      <formula>$F2="A — Approve as Primary Canon"</formula>
    </cfRule>
    <cfRule type="expression" priority="2" dxfId="1">
      <formula>$F2="B — Approve as Secondary Canon"</formula>
    </cfRule>
    <cfRule type="expression" priority="3" dxfId="2">
      <formula>$F2="C — Approve as Stretch Goal"</formula>
    </cfRule>
    <cfRule type="expression" priority="4" dxfId="3">
      <formula>$F2="D — Defer"</formula>
    </cfRule>
    <cfRule type="expression" priority="5" dxfId="4">
      <formula>$F2="E — Deny"</formula>
    </cfRule>
  </conditionalFormatting>
  <conditionalFormatting sqref="J2:J6">
    <cfRule type="colorScale" priority="6">
      <colorScale>
        <cfvo type="min"/>
        <cfvo type="percentile" val="50"/>
        <cfvo type="max"/>
        <color rgb="00FFE3E3"/>
        <color rgb="00FFF3BF"/>
        <color rgb="00D3F9D8"/>
      </colorScale>
    </cfRule>
  </conditionalFormatting>
  <dataValidations count="1">
    <dataValidation sqref="E2:E36 F2:F36" showErrorMessage="1" showDropDown="1" showInputMessage="1" allowBlank="1" type="list">
      <formula1>Lists!$D$2:$D$6</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4F81BD"/>
    <outlinePr summaryBelow="1" summaryRight="1"/>
    <pageSetUpPr/>
  </sheetPr>
  <dimension ref="A1:F58"/>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 width="45" customWidth="1" min="3" max="3"/>
    <col width="45" customWidth="1" min="4" max="4"/>
    <col width="45" customWidth="1" min="5" max="5"/>
    <col width="14" customWidth="1" min="6" max="6"/>
  </cols>
  <sheetData>
    <row r="1" ht="24" customHeight="1">
      <c r="A1" s="7" t="n"/>
      <c r="B1" s="7" t="n"/>
      <c r="C1" s="7" t="n"/>
      <c r="D1" s="7" t="n"/>
      <c r="E1" s="7" t="n"/>
      <c r="F1" s="7" t="n"/>
    </row>
    <row r="2">
      <c r="C2">
        <f>COUNTIFS(Decision_Table!H:H,A2,Decision_Table!F:F,"&lt;&gt;E — Deny")</f>
        <v/>
      </c>
      <c r="D2">
        <f>COUNTIFS(Decision_Table!H:H,A2,Decision_Table!F:F,"A — Approve as Primary Canon")</f>
        <v/>
      </c>
      <c r="E2">
        <f>COUNTIFS(Decision_Table!H:H,A2,Decision_Table!F:F,"C — Approve as Stretch Goal")</f>
        <v/>
      </c>
    </row>
    <row r="3">
      <c r="C3">
        <f>COUNTIFS(Decision_Table!H:H,A3,Decision_Table!F:F,"&lt;&gt;E — Deny")</f>
        <v/>
      </c>
      <c r="D3">
        <f>COUNTIFS(Decision_Table!H:H,A3,Decision_Table!F:F,"A — Approve as Primary Canon")</f>
        <v/>
      </c>
      <c r="E3">
        <f>COUNTIFS(Decision_Table!H:H,A3,Decision_Table!F:F,"C — Approve as Stretch Goal")</f>
        <v/>
      </c>
    </row>
    <row r="4">
      <c r="C4">
        <f>COUNTIFS(Decision_Table!H:H,A4,Decision_Table!F:F,"&lt;&gt;E — Deny")</f>
        <v/>
      </c>
      <c r="D4">
        <f>COUNTIFS(Decision_Table!H:H,A4,Decision_Table!F:F,"A — Approve as Primary Canon")</f>
        <v/>
      </c>
      <c r="E4">
        <f>COUNTIFS(Decision_Table!H:H,A4,Decision_Table!F:F,"C — Approve as Stretch Goal")</f>
        <v/>
      </c>
    </row>
    <row r="5">
      <c r="C5">
        <f>COUNTIFS(Decision_Table!H:H,A5,Decision_Table!F:F,"&lt;&gt;E — Deny")</f>
        <v/>
      </c>
      <c r="D5">
        <f>COUNTIFS(Decision_Table!H:H,A5,Decision_Table!F:F,"A — Approve as Primary Canon")</f>
        <v/>
      </c>
      <c r="E5">
        <f>COUNTIFS(Decision_Table!H:H,A5,Decision_Table!F:F,"C — Approve as Stretch Goal")</f>
        <v/>
      </c>
    </row>
    <row r="6">
      <c r="C6">
        <f>COUNTIFS(Decision_Table!H:H,A6,Decision_Table!F:F,"&lt;&gt;E — Deny")</f>
        <v/>
      </c>
      <c r="D6">
        <f>COUNTIFS(Decision_Table!H:H,A6,Decision_Table!F:F,"A — Approve as Primary Canon")</f>
        <v/>
      </c>
      <c r="E6">
        <f>COUNTIFS(Decision_Table!H:H,A6,Decision_Table!F:F,"C — Approve as Stretch Goal")</f>
        <v/>
      </c>
    </row>
    <row r="7">
      <c r="C7">
        <f>COUNTIFS(Decision_Table!H:H,A7,Decision_Table!F:F,"&lt;&gt;E — Deny")</f>
        <v/>
      </c>
      <c r="D7">
        <f>COUNTIFS(Decision_Table!H:H,A7,Decision_Table!F:F,"A — Approve as Primary Canon")</f>
        <v/>
      </c>
      <c r="E7">
        <f>COUNTIFS(Decision_Table!H:H,A7,Decision_Table!F:F,"C — Approve as Stretch Goal")</f>
        <v/>
      </c>
    </row>
    <row r="8">
      <c r="C8">
        <f>COUNTIFS(Decision_Table!H:H,A8,Decision_Table!F:F,"&lt;&gt;E — Deny")</f>
        <v/>
      </c>
      <c r="D8">
        <f>COUNTIFS(Decision_Table!H:H,A8,Decision_Table!F:F,"A — Approve as Primary Canon")</f>
        <v/>
      </c>
      <c r="E8">
        <f>COUNTIFS(Decision_Table!H:H,A8,Decision_Table!F:F,"C — Approve as Stretch Goal")</f>
        <v/>
      </c>
    </row>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c r="A51" t="inlineStr">
        <is>
          <t>Phase</t>
        </is>
      </c>
      <c r="B51" t="inlineStr">
        <is>
          <t>Description</t>
        </is>
      </c>
      <c r="C51" t="inlineStr">
        <is>
          <t>Planned_Projects_Count</t>
        </is>
      </c>
      <c r="D51" t="inlineStr">
        <is>
          <t>Core_Projects_Count</t>
        </is>
      </c>
      <c r="E51" t="inlineStr">
        <is>
          <t>Stretch_Projects_Count</t>
        </is>
      </c>
      <c r="F51" s="9" t="inlineStr">
        <is>
          <t>Notes</t>
        </is>
      </c>
    </row>
    <row r="52">
      <c r="A52" t="inlineStr">
        <is>
          <t>Phase 1 — Website + POC + Lite</t>
        </is>
      </c>
      <c r="B52" t="inlineStr">
        <is>
          <t>Website, Atlas Studio POC, Atlas-V Lite foundation.</t>
        </is>
      </c>
    </row>
    <row r="53">
      <c r="A53" t="inlineStr">
        <is>
          <t>Phase 2 — OIA + Media Launch</t>
        </is>
      </c>
      <c r="B53" t="inlineStr">
        <is>
          <t>Octopus in Action plus FilmForge/Media pilots.</t>
        </is>
      </c>
    </row>
    <row r="54">
      <c r="A54" t="inlineStr">
        <is>
          <t>Phase 3 — NW + Merch + VoiceForge</t>
        </is>
      </c>
      <c r="B54" t="inlineStr">
        <is>
          <t>Neighborhood Watch, initial merch, and voice tools.</t>
        </is>
      </c>
    </row>
    <row r="55">
      <c r="A55" t="inlineStr">
        <is>
          <t>Phase 4 — Hypercasual Pipeline</t>
        </is>
      </c>
      <c r="B55" t="inlineStr">
        <is>
          <t>Runners and simple mini-game production systems.</t>
        </is>
      </c>
    </row>
    <row r="56">
      <c r="A56" t="inlineStr">
        <is>
          <t>Phase 5 — Engine Deepening</t>
        </is>
      </c>
      <c r="B56" t="inlineStr">
        <is>
          <t>Atlas Engine and Atlas-V refinement and integrations.</t>
        </is>
      </c>
    </row>
    <row r="57">
      <c r="A57" t="inlineStr">
        <is>
          <t>Phase 6 — Full Studio Product</t>
        </is>
      </c>
      <c r="B57" t="inlineStr">
        <is>
          <t>Atlas Studio graduates from POC to product.</t>
        </is>
      </c>
    </row>
    <row r="58">
      <c r="A58" t="inlineStr">
        <is>
          <t>Phase 7 — Autonomous Systems</t>
        </is>
      </c>
      <c r="B58" t="inlineStr">
        <is>
          <t>High automation and self-updating pipelines.</t>
        </is>
      </c>
    </row>
  </sheetData>
  <dataValidations count="1">
    <dataValidation sqref="A3:A9" showErrorMessage="1" showInputMessage="1" allowBlank="1" type="list">
      <formula1>=Phase_List</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tabColor rgb="00FFC000"/>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 width="45" customWidth="1" min="3" max="3"/>
    <col width="45" customWidth="1" min="4" max="4"/>
    <col width="45" customWidth="1" min="5" max="5"/>
    <col width="45" customWidth="1" min="6" max="6"/>
    <col width="45" customWidth="1" min="7" max="7"/>
    <col width="45" customWidth="1" min="8" max="8"/>
  </cols>
  <sheetData>
    <row r="1" ht="24" customHeight="1">
      <c r="A1" s="7" t="inlineStr">
        <is>
          <t>Brand</t>
        </is>
      </c>
      <c r="B1" s="7" t="inlineStr">
        <is>
          <t>Identity</t>
        </is>
      </c>
      <c r="C1" s="7" t="inlineStr">
        <is>
          <t>Tone</t>
        </is>
      </c>
      <c r="D1" s="7" t="inlineStr">
        <is>
          <t>Core_Audience</t>
        </is>
      </c>
      <c r="E1" s="7" t="inlineStr">
        <is>
          <t>Canon_Themes</t>
        </is>
      </c>
      <c r="F1" s="7" t="inlineStr">
        <is>
          <t>What_to_Avoid</t>
        </is>
      </c>
      <c r="G1" s="7" t="inlineStr">
        <is>
          <t>Example_Projects</t>
        </is>
      </c>
      <c r="H1" s="7" t="inlineStr">
        <is>
          <t>Revenue_Streams</t>
        </is>
      </c>
    </row>
    <row r="2">
      <c r="A2" t="inlineStr">
        <is>
          <t>AtlasForge Games</t>
        </is>
      </c>
      <c r="B2" s="9" t="inlineStr">
        <is>
          <t>Multi-genre game label spanning cozy sims, serious strategy, and experimental titles.</t>
        </is>
      </c>
      <c r="C2" s="9" t="inlineStr">
        <is>
          <t>Playful, confident, craft-focused; never cynical.</t>
        </is>
      </c>
      <c r="D2" t="inlineStr">
        <is>
          <t>Players who like depth, charm, and thoughtful systems.</t>
        </is>
      </c>
      <c r="E2" s="9" t="inlineStr">
        <is>
          <t>World-driven IP, strong systems, replayable loops.</t>
        </is>
      </c>
      <c r="F2" s="9" t="inlineStr">
        <is>
          <t>Low-effort cash-grabs, predatory monetization, shallow clones.</t>
        </is>
      </c>
      <c r="G2" s="9" t="inlineStr">
        <is>
          <t>Octopus in Action, Neighborhood Watch, D/D, Conquest.</t>
        </is>
      </c>
      <c r="H2" s="9" t="inlineStr">
        <is>
          <t>Premium purchases, DLC/expansions, bundles, OSTs.</t>
        </is>
      </c>
    </row>
    <row r="3">
      <c r="A3" t="inlineStr">
        <is>
          <t>AtlasForge Media</t>
        </is>
      </c>
      <c r="B3" s="9" t="inlineStr">
        <is>
          <t>Documentary and educational storytelling arm for systems, history, and culture.</t>
        </is>
      </c>
      <c r="C3" s="9" t="inlineStr">
        <is>
          <t>Warm, curious, respectful, occasionally witty.</t>
        </is>
      </c>
      <c r="D3" t="inlineStr">
        <is>
          <t>Learners, documentary fans, curious general audience.</t>
        </is>
      </c>
      <c r="E3" s="9" t="inlineStr">
        <is>
          <t>Clarity, empathy, strong research, human-centered angles.</t>
        </is>
      </c>
      <c r="F3" s="9" t="inlineStr">
        <is>
          <t>Sensationalism, exploitative true crime framing, cheap clickbait.</t>
        </is>
      </c>
      <c r="G3" s="9" t="inlineStr">
        <is>
          <t>FilmForge series, ComedyForge commentary, StoryForge narratives.</t>
        </is>
      </c>
      <c r="H3" s="9" t="inlineStr">
        <is>
          <t>Streaming revenue, sponsorships, companion books, licensing.</t>
        </is>
      </c>
    </row>
    <row r="4">
      <c r="A4" t="inlineStr">
        <is>
          <t>AtlasForge Studio</t>
        </is>
      </c>
      <c r="B4" s="9" t="inlineStr">
        <is>
          <t>Tools, templates, and workspaces that help creators think, plan, and build.</t>
        </is>
      </c>
      <c r="C4" s="9" t="inlineStr">
        <is>
          <t>Supportive, practical, quietly clever.</t>
        </is>
      </c>
      <c r="D4" t="inlineStr">
        <is>
          <t>Indie devs, small teams, solo creators, operations nerds.</t>
        </is>
      </c>
      <c r="E4" s="9" t="inlineStr">
        <is>
          <t>Reducing friction, clarifying thinking, reusable patterns.</t>
        </is>
      </c>
      <c r="F4" s="9" t="inlineStr">
        <is>
          <t>Bloated enterprise bloatware vibes, unnecessary complexity.</t>
        </is>
      </c>
      <c r="G4" s="9" t="inlineStr">
        <is>
          <t>Atlas Studio POC, TemplateBuilder, VoiceForge, SoundForge.</t>
        </is>
      </c>
      <c r="H4" s="9" t="inlineStr">
        <is>
          <t>Licensing, subscriptions, template packs.</t>
        </is>
      </c>
    </row>
    <row r="5">
      <c r="A5" t="inlineStr">
        <is>
          <t>Atlas Engine &amp; Atlas-V</t>
        </is>
      </c>
      <c r="B5" s="9" t="inlineStr">
        <is>
          <t>Governed logic core and project copilot powering AtlasForge’s tools and outputs.</t>
        </is>
      </c>
      <c r="C5" s="9" t="inlineStr">
        <is>
          <t>Precise, clear, reliable; the grown-up in the room.</t>
        </is>
      </c>
      <c r="D5" t="inlineStr">
        <is>
          <t>Internal teams, advanced users, future external partners.</t>
        </is>
      </c>
      <c r="E5" s="9" t="inlineStr">
        <is>
          <t>Safety, structure, constraint-respect, cross-project memory.</t>
        </is>
      </c>
      <c r="F5" s="9" t="inlineStr">
        <is>
          <t>Overpromising AGI magic tricks, opaque behavior.</t>
        </is>
      </c>
      <c r="G5" s="9" t="inlineStr">
        <is>
          <t>Atlas Engine governance, Atlas-V copilot, Atlas-V Lite GPT experiences.</t>
        </is>
      </c>
      <c r="H5" s="9" t="inlineStr">
        <is>
          <t>Indirect: enables everything else to make money; possible future API access.</t>
        </is>
      </c>
    </row>
    <row r="6">
      <c r="A6" t="inlineStr">
        <is>
          <t>AtlasForge Merch</t>
        </is>
      </c>
      <c r="B6" s="9" t="inlineStr">
        <is>
          <t>Physical and digital goods that extend the worlds and aesthetics of the brand.</t>
        </is>
      </c>
      <c r="C6" s="9" t="inlineStr">
        <is>
          <t>Fun, collectible, slightly mischievous.</t>
        </is>
      </c>
      <c r="D6" t="inlineStr">
        <is>
          <t>Fans of the games, media, and studio aesthetic.</t>
        </is>
      </c>
      <c r="E6" s="9" t="inlineStr">
        <is>
          <t>Delight, quality, in-jokes tied to canon, cozy loyalty.</t>
        </is>
      </c>
      <c r="F6" s="9" t="inlineStr">
        <is>
          <t>Cheap-feeling print-on-demand spam, off-brand memes.</t>
        </is>
      </c>
      <c r="G6" s="9" t="inlineStr">
        <is>
          <t>ForgeWear apparel, Pixel Plush (OIA), Real Horse Unit gag line.</t>
        </is>
      </c>
      <c r="H6" s="9" t="inlineStr">
        <is>
          <t>Per-item sales, limited drops, bundles tied to releases.</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4F81BD"/>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7" customWidth="1" min="1" max="1"/>
    <col width="45" customWidth="1" min="2" max="2"/>
  </cols>
  <sheetData>
    <row r="1" ht="24" customHeight="1">
      <c r="A1" s="7" t="inlineStr">
        <is>
          <t>Metric</t>
        </is>
      </c>
      <c r="B1" s="7" t="inlineStr">
        <is>
          <t>Value</t>
        </is>
      </c>
    </row>
    <row r="2">
      <c r="A2" s="6" t="inlineStr">
        <is>
          <t>Total Projects</t>
        </is>
      </c>
      <c r="B2" s="6">
        <f>ROWS(Universe_Index!A:A)-1</f>
        <v/>
      </c>
    </row>
    <row r="3">
      <c r="A3" s="6" t="inlineStr">
        <is>
          <t>Games Count</t>
        </is>
      </c>
      <c r="B3" s="6">
        <f>COUNTIF(Universe_Index!C:C,"AtlasForge Games")</f>
        <v/>
      </c>
    </row>
    <row r="4">
      <c r="A4" s="6" t="inlineStr">
        <is>
          <t>Media Count</t>
        </is>
      </c>
      <c r="B4" s="6">
        <f>COUNTIF(Universe_Index!C:C,"AtlasForge Media")</f>
        <v/>
      </c>
    </row>
    <row r="5">
      <c r="A5" s="6" t="inlineStr">
        <is>
          <t>Studio Tools Count</t>
        </is>
      </c>
      <c r="B5" s="6">
        <f>COUNTIF(Universe_Index!C:C,"AtlasForge Studio")</f>
        <v/>
      </c>
    </row>
    <row r="6">
      <c r="A6" t="inlineStr">
        <is>
          <t>Engine/R&amp;D Count</t>
        </is>
      </c>
      <c r="B6">
        <f>COUNTIF(Universe_Index!C:C,"Atlas Engine &amp; Atlas-V")</f>
        <v/>
      </c>
    </row>
    <row r="7">
      <c r="A7" t="inlineStr">
        <is>
          <t>Merch Count</t>
        </is>
      </c>
      <c r="B7">
        <f>COUNTIF(Universe_Index!C:C,"AtlasForge Merch")</f>
        <v/>
      </c>
    </row>
    <row r="9">
      <c r="A9" t="inlineStr">
        <is>
          <t>Primary Canon (A) Count</t>
        </is>
      </c>
      <c r="B9">
        <f>COUNTIF(Decision_Table!F:F,"A — Approve as Primary Canon")</f>
        <v/>
      </c>
    </row>
    <row r="10">
      <c r="A10" t="inlineStr">
        <is>
          <t>Secondary Canon (B) Count</t>
        </is>
      </c>
      <c r="B10">
        <f>COUNTIF(Decision_Table!F:F,"B — Approve as Secondary Canon")</f>
        <v/>
      </c>
    </row>
    <row r="11">
      <c r="A11" t="inlineStr">
        <is>
          <t>Stretch (C) Count</t>
        </is>
      </c>
      <c r="B11">
        <f>COUNTIF(Decision_Table!F:F,"C — Approve as Stretch Goal")</f>
        <v/>
      </c>
    </row>
    <row r="12">
      <c r="A12" t="inlineStr">
        <is>
          <t>Deferred (D) Count</t>
        </is>
      </c>
      <c r="B12">
        <f>COUNTIF(Decision_Table!F:F,"D — Defer")</f>
        <v/>
      </c>
    </row>
    <row r="13">
      <c r="A13" t="inlineStr">
        <is>
          <t>Denied (E) Count</t>
        </is>
      </c>
      <c r="B13">
        <f>COUNTIF(Decision_Table!F:F,"E — Deny")</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CCCCCC"/>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ht="24" customHeight="1">
      <c r="A1" s="7" t="inlineStr">
        <is>
          <t xml:space="preserve">AtlasForge Master Canon Workbook (v1)
This workbook is designed to track all AtlasForge projects (games, media, tools, engine, merch, R&amp;D) and your canon decisions.
Basic usage order:
1) Fill out Universe_Index with one row per project/IP/tool.
2) Use Canon_Matrix to add difficulty, revenue, audience, and risk notes.
3) Use Decision_Table to assign A/B/C/D/E and roadmap phases.
4) Review Roadmap and Summary to see how phases and priorities stack up.
5) Use Brands to keep track of each brand's identity, tone, and revenue patterns.
The Lists sheet is for dropdown values and should normally stay hidden.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2025-11-27T01:35:06Z</dcterms:created>
  <dcterms:modified xmlns:dcterms="http://purl.org/dc/terms/" xmlns:xsi="http://www.w3.org/2001/XMLSchema-instance" xsi:type="dcterms:W3CDTF">2025-11-27T01:35:06Z</dcterms:modified>
</cp:coreProperties>
</file>